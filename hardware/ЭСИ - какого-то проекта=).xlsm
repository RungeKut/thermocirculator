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spch\YandexDisk\РАБОТА\Лазерная резка\"/>
    </mc:Choice>
  </mc:AlternateContent>
  <bookViews>
    <workbookView xWindow="0" yWindow="0" windowWidth="23250" windowHeight="11610" tabRatio="500"/>
  </bookViews>
  <sheets>
    <sheet name="Main" sheetId="3" r:id="rId1"/>
    <sheet name="Set" sheetId="8" r:id="rId2"/>
    <sheet name="Lib" sheetId="7" r:id="rId3"/>
  </sheets>
  <functionGroups builtInGroupCount="18"/>
  <definedNames>
    <definedName name="_xlnm._FilterDatabase" localSheetId="2" hidden="1">Lib!$A$1:$D$944</definedName>
  </definedNames>
  <calcPr calcId="152511"/>
  <customWorkbookViews>
    <customWorkbookView name="Все" guid="{81DE55B0-85A9-418C-8421-697090D2269D}" maximized="1" xWindow="-8" yWindow="-8" windowWidth="1936" windowHeight="1056" tabRatio="500" activeSheetId="3"/>
  </customWorkbookViews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B737" i="3" l="1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22" i="3"/>
  <c r="AB721" i="3"/>
  <c r="AB720" i="3"/>
  <c r="AB718" i="3"/>
  <c r="AB717" i="3"/>
  <c r="AB716" i="3"/>
  <c r="AB715" i="3"/>
  <c r="AB714" i="3"/>
  <c r="AB713" i="3"/>
  <c r="AB711" i="3"/>
  <c r="AB710" i="3"/>
  <c r="AB709" i="3"/>
  <c r="AB708" i="3"/>
  <c r="AB706" i="3"/>
  <c r="AB705" i="3"/>
  <c r="AB704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625" i="3"/>
  <c r="AB719" i="3" l="1"/>
  <c r="AB707" i="3"/>
  <c r="AB624" i="3"/>
  <c r="AB712" i="3"/>
  <c r="AB703" i="3"/>
  <c r="E20" i="8"/>
  <c r="E19" i="8"/>
  <c r="E17" i="8"/>
  <c r="E18" i="8"/>
  <c r="E16" i="8"/>
  <c r="E13" i="8"/>
  <c r="E14" i="8"/>
  <c r="E15" i="8"/>
  <c r="E12" i="8"/>
  <c r="E9" i="8"/>
  <c r="E10" i="8"/>
  <c r="E11" i="8"/>
  <c r="E8" i="8"/>
  <c r="N1" i="8"/>
  <c r="M1" i="8"/>
  <c r="L1" i="8"/>
  <c r="K1" i="8"/>
  <c r="J1" i="8"/>
  <c r="I1" i="8"/>
  <c r="H1" i="8"/>
  <c r="G1" i="8"/>
  <c r="F1" i="8"/>
  <c r="AA600" i="3"/>
  <c r="U2" i="3"/>
  <c r="AB623" i="3" l="1"/>
  <c r="AA1117" i="3"/>
  <c r="AA622" i="3"/>
  <c r="AA551" i="3"/>
</calcChain>
</file>

<file path=xl/sharedStrings.xml><?xml version="1.0" encoding="utf-8"?>
<sst xmlns="http://schemas.openxmlformats.org/spreadsheetml/2006/main" count="10014" uniqueCount="2575">
  <si>
    <t>Обозначение</t>
  </si>
  <si>
    <t>Кол-во</t>
  </si>
  <si>
    <t>Производитель</t>
  </si>
  <si>
    <t>Ссылка</t>
  </si>
  <si>
    <t>├</t>
  </si>
  <si>
    <t>│</t>
  </si>
  <si>
    <t>Schurter</t>
  </si>
  <si>
    <t>FQ18-3ZK-S</t>
  </si>
  <si>
    <t>Dafa</t>
  </si>
  <si>
    <t>http://www.rct.ru/warehouse/80004122/80018179.html</t>
  </si>
  <si>
    <t>Вилка кабельная 12к</t>
  </si>
  <si>
    <t>FQ18-12TJ-6</t>
  </si>
  <si>
    <t>http://www.rct.ru/warehouse/80004122/80027958.html</t>
  </si>
  <si>
    <t>FQ18-12ZK-S</t>
  </si>
  <si>
    <t>http://www.rct.ru/warehouse/80004122/80027959.html</t>
  </si>
  <si>
    <t>Вилка кабельная 4к</t>
  </si>
  <si>
    <t>FQ18-4TJ-6</t>
  </si>
  <si>
    <t>http://www.rct.ru/warehouse/80004122/80031343.html</t>
  </si>
  <si>
    <t>Розетка блочная 4к</t>
  </si>
  <si>
    <t>FQ18-4ZK-S</t>
  </si>
  <si>
    <t>http://www.rct.ru/warehouse/80004122/80006219.html</t>
  </si>
  <si>
    <t>FQ18-4TK-6</t>
  </si>
  <si>
    <t>http://www.rct.ru/warehouse/80004122/80044355.html</t>
  </si>
  <si>
    <t>FQ18-4ZJ-S</t>
  </si>
  <si>
    <t>http://www.rct.ru/warehouse/80004122/80044356.html</t>
  </si>
  <si>
    <t>FQ18-5ZK-S</t>
  </si>
  <si>
    <t>http://www.rct.ru/warehouse/80004122/80033287.html</t>
  </si>
  <si>
    <t>Панельный разъем Стресс системы RJ-45</t>
  </si>
  <si>
    <t>RS pro</t>
  </si>
  <si>
    <t>Вилка кабельная 6к</t>
  </si>
  <si>
    <t>FQ18-6TJ-6</t>
  </si>
  <si>
    <t>Розетка блочная 6к</t>
  </si>
  <si>
    <t>FQ18-6ZK-S</t>
  </si>
  <si>
    <t>Вилка кабельная TP-8P8C (RJ45)</t>
  </si>
  <si>
    <t>TP-8P8C (RJ45)</t>
  </si>
  <si>
    <t>Клемма ножевая РПИ-М 2.5-(4.8) (КВТ)</t>
  </si>
  <si>
    <t>РПИ-М 2.5-(4.8) (КВТ)</t>
  </si>
  <si>
    <t>КВТ</t>
  </si>
  <si>
    <t>Наконечник кабельный НВИ 1.5-3 (КВТ)</t>
  </si>
  <si>
    <t>НВИ 1.5-3 (КВТ)</t>
  </si>
  <si>
    <t>НКИ 2.5-5 (КВТ)</t>
  </si>
  <si>
    <t>Наконечник кабельный НКИ 6.0-6 (КВТ)</t>
  </si>
  <si>
    <t>НКИ 6.0-6 (КВТ)</t>
  </si>
  <si>
    <t>2EDGK-5.0-02P-14-00A(H)</t>
  </si>
  <si>
    <t>DEGSON</t>
  </si>
  <si>
    <t>Розетка на кабель 2p, 300В, 8А, 3.81мм</t>
  </si>
  <si>
    <t>15EDGK-3.81-02P-14-00A(H)</t>
  </si>
  <si>
    <t>Розетка на кабель 3p, 300В, 8А, 3.81мм</t>
  </si>
  <si>
    <t>15EDGK-3.81-03P-14-00A(H)</t>
  </si>
  <si>
    <t>└</t>
  </si>
  <si>
    <t>Индикатор блочный</t>
  </si>
  <si>
    <t>CML</t>
  </si>
  <si>
    <t>https://www.elitan.ru/price/item9471140</t>
  </si>
  <si>
    <t>Плата системы управления</t>
  </si>
  <si>
    <t>ECS100US24-B</t>
  </si>
  <si>
    <t>Плата системы разгрузки</t>
  </si>
  <si>
    <t>DTM 12032</t>
  </si>
  <si>
    <t>delta-battery</t>
  </si>
  <si>
    <t>https://www.delta-battery.ru/catalog/dtm/delta-dtm-12032/</t>
  </si>
  <si>
    <t>Самовосст. Предохранитель 240AC 750мА</t>
  </si>
  <si>
    <t>LVR075S-240</t>
  </si>
  <si>
    <t>60R300XF</t>
  </si>
  <si>
    <t>Трансформатор 100-220/24</t>
  </si>
  <si>
    <t>ТТП-100-0044 + комплект крепежа (ф. Электрон Комплекс)</t>
  </si>
  <si>
    <t>Autonics</t>
  </si>
  <si>
    <t>http://kipstore.ru/bts1m-tdtd/</t>
  </si>
  <si>
    <t>LINAK</t>
  </si>
  <si>
    <t>Шасси инвертора</t>
  </si>
  <si>
    <t>Преобразователь частоты VFD022E21A Delta, 2,2 кВт, 1ф</t>
  </si>
  <si>
    <t>VFD022E21A</t>
  </si>
  <si>
    <t>Delta Electronics</t>
  </si>
  <si>
    <t>Энкодер оптический</t>
  </si>
  <si>
    <t>Фильтр ЭМП EPCOS B84113H0000G125, 250 В / 25 А</t>
  </si>
  <si>
    <t>B84113H0000G125</t>
  </si>
  <si>
    <t>EPCOS</t>
  </si>
  <si>
    <t>Плата энкодера Delta Electronics EME-PG01</t>
  </si>
  <si>
    <t>EME-PG01</t>
  </si>
  <si>
    <t>Двигатель асинхронный АИР90L4 У2 2,2 кВт, 1420 об/мин, б/вентилятора</t>
  </si>
  <si>
    <t>Графическая панель ХМИ</t>
  </si>
  <si>
    <t>Raspberry Pi Compute Module 3 Lite</t>
  </si>
  <si>
    <t>https://www.compel.ru/infosheet/RASPBERR/Raspberry%20Pi%20Compute%20Module%203%20Lite</t>
  </si>
  <si>
    <t>Корпус Bottom part flat, IFT L</t>
  </si>
  <si>
    <t>B4046717</t>
  </si>
  <si>
    <t>OKW</t>
  </si>
  <si>
    <t>Корпус Front panel ABS, IFT L</t>
  </si>
  <si>
    <t>B4146107</t>
  </si>
  <si>
    <t>3x10 A2 9090</t>
  </si>
  <si>
    <t>https://www.superbolt.ru/product/samorez_s_potaynoy_golovkoy_dlya_plastika_s_tupym_kontsom_pod_krest/</t>
  </si>
  <si>
    <t>Разъем HMI панельный</t>
  </si>
  <si>
    <t>Разъем HMI кабельный</t>
  </si>
  <si>
    <t>Сенсорное стекло черное</t>
  </si>
  <si>
    <t>PB101JG2084</t>
  </si>
  <si>
    <t>Матрица без ушей</t>
  </si>
  <si>
    <t>HSD101PWW1-A00</t>
  </si>
  <si>
    <t>USB 2.0 WiFi Adapter 300Mbps 802.11N/G/B</t>
  </si>
  <si>
    <t>RASP1884</t>
  </si>
  <si>
    <t>https://www.onpad.ru/catalog/cubie/raspberrypi/Accessories/1994.html</t>
  </si>
  <si>
    <t>Hardkernel Bluetooth Module 2 (модуль Bluetooth)</t>
  </si>
  <si>
    <t>OD2305</t>
  </si>
  <si>
    <t>https://www.onpad.ru/catalog/cubie/odroid/acc_odroid/2115.html</t>
  </si>
  <si>
    <t>Адаптер USB Buro BU-BT40A Bluetooth 4.0+EDR class 1.5 20м черный</t>
  </si>
  <si>
    <t>Батарея CR2032</t>
  </si>
  <si>
    <t>CR2032</t>
  </si>
  <si>
    <t>https://www.elitan.ru/price/item71572</t>
  </si>
  <si>
    <t>Aккумулятор Li-Pol 103454 3,7В 2Ач</t>
  </si>
  <si>
    <t>LP103454LC-PCM-LD</t>
  </si>
  <si>
    <t>EEMB</t>
  </si>
  <si>
    <t>https://www.compel.ru/infosheet/EEMB/LP103454LC-PCM-LD</t>
  </si>
  <si>
    <t>Динамическая головка 8Ом 4Вт</t>
  </si>
  <si>
    <t>FQ18-5TJ-10</t>
  </si>
  <si>
    <t>http://www.rct.ru/warehouse/80004122/80033285.html</t>
  </si>
  <si>
    <t>Кнопка LAY5-BS542, аварийная, с фиксацией поворотная</t>
  </si>
  <si>
    <t>LAY5-BS542</t>
  </si>
  <si>
    <t>IEK</t>
  </si>
  <si>
    <t>https://www.etm.ru/cat/nn/9880145/</t>
  </si>
  <si>
    <t>Блок контактный 1р</t>
  </si>
  <si>
    <t>BDK11</t>
  </si>
  <si>
    <t>https://www.etm.ru/cat/nn/1780431/</t>
  </si>
  <si>
    <t>Корпус кнопочный 1 кнопка</t>
  </si>
  <si>
    <t>КП101</t>
  </si>
  <si>
    <t>EKF</t>
  </si>
  <si>
    <t>https://www.etm.ru/cat/nn/9861121/</t>
  </si>
  <si>
    <t>Спиральный кабель ÖLFLEX® SPIRAL 400 P (цвет:серый)</t>
  </si>
  <si>
    <t>ÖLFLEX</t>
  </si>
  <si>
    <t>https://products.lappgroup.com/online-catalogue/power-and-control-cables/oelflex-connect-systems-solutions/spiralised/oelflex-spiral-400-p.html</t>
  </si>
  <si>
    <t>стоимость энкодера,B84113H0000G125,VFD022E21A</t>
  </si>
  <si>
    <t>Вентилятор FA20060B22HLAC 200x200x60, FANOVER</t>
  </si>
  <si>
    <t>FA20060B22HLAC</t>
  </si>
  <si>
    <t>Шасси входной автоматики</t>
  </si>
  <si>
    <t>КЭАЗ</t>
  </si>
  <si>
    <t>Контактор модульный Acti9 iCT 2P 40А 230В 2НО</t>
  </si>
  <si>
    <t>A9C20842</t>
  </si>
  <si>
    <t xml:space="preserve"> Schneider Electric</t>
  </si>
  <si>
    <t>RSB2A080BDS</t>
  </si>
  <si>
    <t>Weidmueller</t>
  </si>
  <si>
    <t>Трансформатор разделительный 2,5 кВА</t>
  </si>
  <si>
    <t>Трансформатор разделительный (крепление 4-а) (Выводы обмоток длиной 60см без клемника и кронштейна под него)(изол.3,5кВ)</t>
  </si>
  <si>
    <t>ОСМ Т 220/220-2,5-50</t>
  </si>
  <si>
    <t>ПЗСТ</t>
  </si>
  <si>
    <t>http://www.inels.ru/item_transformator-shtil-osm-t-220-uvt-2-5-50-dlya-kol-3-4-sht/</t>
  </si>
  <si>
    <t xml:space="preserve"> Может A9C20843, то цена 4593.20</t>
  </si>
  <si>
    <t>Плата мягкого пуска трансформатора</t>
  </si>
  <si>
    <t>Кнопка сдвоенная 1з+1р с подсветкой (I-O)</t>
  </si>
  <si>
    <t>M22−DDL−GR−X1/X0/K11/230−W, Eaton</t>
  </si>
  <si>
    <t>Eaton</t>
  </si>
  <si>
    <t>Автоматический выключатель EASY 9 2П 32A B 4,5кА 230В</t>
  </si>
  <si>
    <t>EZ9F14232</t>
  </si>
  <si>
    <t>Держатель предохранителей 10,3Х38 2-полюсный 32А, 690В AC/DC  (E92/32)</t>
  </si>
  <si>
    <t>ABB</t>
  </si>
  <si>
    <t>https://ru.farnell.com/abb/e92-32-pv/fuse-carrier-2p-32a-1kv-dc/dp/1895106</t>
  </si>
  <si>
    <t>Плавкая вставка цилиндрическая ПВЦ 10х38 20А (pvc-10x38-20)</t>
  </si>
  <si>
    <t>https://www.etm.ru/cat/nn/6975375/</t>
  </si>
  <si>
    <t>Разъем Вилка C14</t>
  </si>
  <si>
    <t>6100.3</t>
  </si>
  <si>
    <t>https://www.elitan.ru/price/item558361</t>
  </si>
  <si>
    <t>Примечание</t>
  </si>
  <si>
    <t>ЦЕНА  за шт.</t>
  </si>
  <si>
    <t>https://ru.rsdelivers.com/product/rs-pro/rs30220m/rs-pro-%D0%B0%D0%B4%D0%B0%D0%BF%D1%82%D0%B5%D1%80/9075652</t>
  </si>
  <si>
    <t>LAP4-3-G, 6 кнопок (Hiwin)</t>
  </si>
  <si>
    <t>LAP4-4-G, 8 кнопок (Hiwin)</t>
  </si>
  <si>
    <t>Панель лицевая пульта управления</t>
  </si>
  <si>
    <t>https://shop.antrieb.ru/produkcija/aktuatory_linejnye_privody/linejnye_aktuatory_hiwin/kontrolery_i_pdu/lap_4.htm</t>
  </si>
  <si>
    <t>LAP4-3-G</t>
  </si>
  <si>
    <t>LAP4-4-G</t>
  </si>
  <si>
    <t>Ручной пульт управления 6кн. (модификация без сист. Разгрузки)</t>
  </si>
  <si>
    <t>Ручной пульт управления 8кн. (модификация с сист. Разгрузки)</t>
  </si>
  <si>
    <t>https://www.okw.com.ru/ru/Interface-Terminal/B4046717.htm</t>
  </si>
  <si>
    <t>https://www.okw.com.ru/ru/Interface-Terminal/B4146107.htm</t>
  </si>
  <si>
    <t>SACC-EC-M12FS-5CON-PG 9/0,5 VA - 1554652</t>
  </si>
  <si>
    <t>SACC-M12MR-5PL SH - 1424659</t>
  </si>
  <si>
    <t>Феникс панельный</t>
  </si>
  <si>
    <t>Феникс кабель папа угловой</t>
  </si>
  <si>
    <t>https://www.phoenixcontact.com/online/portal/ru?uri=pxc-oc-itemdetail:pid=1554652&amp;library=ruru&amp;tab=1&amp;requestType=product&amp;productId=1554652&amp;productDetection=true&amp;redirectTarget=country&amp;redirectTo=RU</t>
  </si>
  <si>
    <t>https://www.phoenixcontact.com/online/portal/ru?uri=pxc-oc-itemdetail:pid=1424659&amp;library=ruru&amp;tab=1&amp;requestType=product&amp;productId=1424659&amp;productDetection=true&amp;redirectTarget=country&amp;redirectTo=RU#paging-top</t>
  </si>
  <si>
    <t>Лазерный нивелир</t>
  </si>
  <si>
    <t>REATECH</t>
  </si>
  <si>
    <t>Провод заземления розетка блочная - болт заземления</t>
  </si>
  <si>
    <t>Провод соединительный контактор модульный - кнопка двойная</t>
  </si>
  <si>
    <t>Жгут соединительный держатель предохранителей - контактор модульный-кнопка двойная</t>
  </si>
  <si>
    <t>Жгут соединительный плата мягкого пуска - кнопка двойная - контактор модульный</t>
  </si>
  <si>
    <t>Кабель соединительный автоматический выключатель - розетка блочная - болт заземления</t>
  </si>
  <si>
    <t>Система разгрузки</t>
  </si>
  <si>
    <t>FQ18-3TJ-5</t>
  </si>
  <si>
    <t>http://www.rct.ru/warehouse/80004122/80010292.html</t>
  </si>
  <si>
    <t>T120</t>
  </si>
  <si>
    <t>Выключатель с красной подсветкой (двойной)</t>
  </si>
  <si>
    <t>Лазерный стоп сигнал</t>
  </si>
  <si>
    <t>https://electro-kot.ru/lazernyy-stop-signal-na-avto.html</t>
  </si>
  <si>
    <t>Кабель питания</t>
  </si>
  <si>
    <t>FQ24-4TK-12</t>
  </si>
  <si>
    <t>FQ24-4TJ-12</t>
  </si>
  <si>
    <t>http://connector.su/parts/166/fq24-4tk-12-1775.html</t>
  </si>
  <si>
    <t>http://connector.su/parts/166/fq24-4tj-12-3742.html</t>
  </si>
  <si>
    <t>POL-SUN</t>
  </si>
  <si>
    <t>FQ24-4ZJ-S</t>
  </si>
  <si>
    <t>http://connector.su/parts/170/fq24-4zj-s-1780.html</t>
  </si>
  <si>
    <t>Кабель ПВС 2х0.5</t>
  </si>
  <si>
    <t>Модификация наконечников трансформатора</t>
  </si>
  <si>
    <t>Кнопка аварийной остановки</t>
  </si>
  <si>
    <t>Ручной пульт управления</t>
  </si>
  <si>
    <t>Внешняя стресс система</t>
  </si>
  <si>
    <t>http://connector.su/parts/165/fq18-6tj-6-3699.html</t>
  </si>
  <si>
    <t>https://www.chipdip.ru/product/mgb12-p-6g</t>
  </si>
  <si>
    <t>MGB12-P-6G</t>
  </si>
  <si>
    <t>Кабельный ввод MGB12-P-6G</t>
  </si>
  <si>
    <t xml:space="preserve">НВИ-1.5-3 </t>
  </si>
  <si>
    <t>Кнопка "Экстренная остановка". Наклейка.</t>
  </si>
  <si>
    <t>Механика</t>
  </si>
  <si>
    <t>Кабель кнопки авария</t>
  </si>
  <si>
    <t>Hiwin</t>
  </si>
  <si>
    <t>Крепеж</t>
  </si>
  <si>
    <t>Кронштейн</t>
  </si>
  <si>
    <t>Пластина</t>
  </si>
  <si>
    <t>Гайка М4 Din 934</t>
  </si>
  <si>
    <t>Шайба 4 Din 127</t>
  </si>
  <si>
    <t>Шайба 4.3 Din 125</t>
  </si>
  <si>
    <t>Din 965 - Zn</t>
  </si>
  <si>
    <t>Din 965 Z - Zn</t>
  </si>
  <si>
    <t>Din 934</t>
  </si>
  <si>
    <t>Din 127</t>
  </si>
  <si>
    <t>Din 125</t>
  </si>
  <si>
    <t xml:space="preserve">Трубка термоусаживаемая ТУТ6/3  </t>
  </si>
  <si>
    <t>ТУТ6/3</t>
  </si>
  <si>
    <t>штуки/килограммы/литры/метры</t>
  </si>
  <si>
    <t>https://ru.mouser.com/datasheet/2/427/ntcalug91am4-1628677.pdf</t>
  </si>
  <si>
    <t>NTC термистор 10k</t>
  </si>
  <si>
    <t>Наконечник кабельный НШВИ 1.5-8 (КВТ)</t>
  </si>
  <si>
    <t>НШВИ 1.5-8 (КВТ)</t>
  </si>
  <si>
    <t>Наконечник кабельный РПИ-М 1.5-7-0.8 (КВТ)</t>
  </si>
  <si>
    <t>РПИ-М 1.5-7-0.8 (КВТ)</t>
  </si>
  <si>
    <t>Наконечник кабельный НШВИ 0.5-8 (КВТ)</t>
  </si>
  <si>
    <t>НШВИ 0.5-8 (КВТ)</t>
  </si>
  <si>
    <t>Наконечник кабельный НШВИ 2.5-8 (КВТ)</t>
  </si>
  <si>
    <t>НШВИ 2.5-8 (КВТ)</t>
  </si>
  <si>
    <t>http://connector.su/parts/170/fq24-4zk-s-3747.html</t>
  </si>
  <si>
    <t>FQ24-4ZK-S</t>
  </si>
  <si>
    <t>Кабель соединительный держатель предохранителей- вилка блочная</t>
  </si>
  <si>
    <t>Конденсатор JFB 1,0 мкФ - 630 В (JB capacitors)</t>
  </si>
  <si>
    <t>JFB02J105K275000B</t>
  </si>
  <si>
    <t>Конденсатор SH 470 мкФ - 35 В (10х15)</t>
  </si>
  <si>
    <t>SH035M0470A5S-1015</t>
  </si>
  <si>
    <t>Керам. ЧИП конд. 0,1 мкФ - 50 В - X7R - 10 % - 0805</t>
  </si>
  <si>
    <t>GRM21BR71H104KA01L</t>
  </si>
  <si>
    <t>Тант. ЧИП конденсатор 10 мкФ - 50 В - тип D</t>
  </si>
  <si>
    <t>TR3D106K050D0700</t>
  </si>
  <si>
    <t>Микросхема LM78L12AC, TO-92</t>
  </si>
  <si>
    <t>LM78L12AC, TO-92</t>
  </si>
  <si>
    <t>Микросхема NE555D, SO-8</t>
  </si>
  <si>
    <t>NE555D, SO-8</t>
  </si>
  <si>
    <t>Резистор проволочный SQP 300 Ом - 10Вт - 5%</t>
  </si>
  <si>
    <t>SQP10-300R</t>
  </si>
  <si>
    <t>Резистор 270 кОм - 3,0 Вт - 5%</t>
  </si>
  <si>
    <t>PR03000202703JAC00</t>
  </si>
  <si>
    <t>Термистор NTC 0.5Ом - 50А - 900Дж</t>
  </si>
  <si>
    <t>MS35 0R550</t>
  </si>
  <si>
    <t>Чип резистор 1,2 кОм - 0,125 Вт - 5 % - 0805</t>
  </si>
  <si>
    <t>RC0805JR-071K2L</t>
  </si>
  <si>
    <t>Чип резистор 180 кОм - 0,125 Вт - 5% - 0805</t>
  </si>
  <si>
    <t>RC0805JR-07180KL</t>
  </si>
  <si>
    <t>Реле электромеханическое G8P1A4P12DC, 12В - 30А, 250В</t>
  </si>
  <si>
    <t>G8P1A4P12DC</t>
  </si>
  <si>
    <t>Мост диодный DB104, DB-1</t>
  </si>
  <si>
    <t>DB104, DB-1</t>
  </si>
  <si>
    <t>Стабилитрон 1N4746A, DO-41(G)</t>
  </si>
  <si>
    <t>1N4746A, DO-41(G)</t>
  </si>
  <si>
    <t>Диод US1M, SMA</t>
  </si>
  <si>
    <t>US1M, SMA</t>
  </si>
  <si>
    <t>Транзистор BC817-40, SOT-23</t>
  </si>
  <si>
    <t>BC817-40, SOT-23</t>
  </si>
  <si>
    <t>Клеммник барьерный DG78C-B-06P-13-00A(H)</t>
  </si>
  <si>
    <t>DG78C-B-06P-13-00A(H)</t>
  </si>
  <si>
    <t>Жилет системы разгрузки (детский). Принадлежность.</t>
  </si>
  <si>
    <t>Жилет системы разгрузки (подростковый). Принадлежность.</t>
  </si>
  <si>
    <t>Жилет системы разгрузки (взрослый 1). Принадлежность</t>
  </si>
  <si>
    <t>Жилет системы разгрузки (взрослый 2). Принадлежность.</t>
  </si>
  <si>
    <t>Основание</t>
  </si>
  <si>
    <t>Стойка</t>
  </si>
  <si>
    <t>Каркас</t>
  </si>
  <si>
    <t>СР-01.01.000</t>
  </si>
  <si>
    <t>СР-01.02.000</t>
  </si>
  <si>
    <t>СР-01.03.000</t>
  </si>
  <si>
    <t>Ось</t>
  </si>
  <si>
    <t>СР-01.00.001</t>
  </si>
  <si>
    <t>Пластиковый колпачек на болт М10</t>
  </si>
  <si>
    <t>Анкер для высоких нагрузок</t>
  </si>
  <si>
    <t>S M8-12\55\65</t>
  </si>
  <si>
    <t>Пластиковый колпачек на болт М8</t>
  </si>
  <si>
    <t>Крепление к полу</t>
  </si>
  <si>
    <t>Система разгрузки. Информационная наклейка.</t>
  </si>
  <si>
    <t>Крышка</t>
  </si>
  <si>
    <t>Стенка боковая</t>
  </si>
  <si>
    <t xml:space="preserve">Потребительская тара. Ящик №1. </t>
  </si>
  <si>
    <t xml:space="preserve">Потребительская тара. Ящик №2. </t>
  </si>
  <si>
    <t xml:space="preserve">Потребительская тара. Ящик №3. </t>
  </si>
  <si>
    <t>Комплект крепежных элементов</t>
  </si>
  <si>
    <t>Крепление фиксированных больших поручней</t>
  </si>
  <si>
    <t>Крепление фиксированных малых поручней</t>
  </si>
  <si>
    <t>Крепление регулируемых поручей</t>
  </si>
  <si>
    <t>Крепление передней дуги безопасности</t>
  </si>
  <si>
    <t>Крепление рампы для въезда инвалидной коляски</t>
  </si>
  <si>
    <t>Крепление дополнительных регулируемых упоров для рук</t>
  </si>
  <si>
    <t>Крепление графической панели ХМИ</t>
  </si>
  <si>
    <t>Болт М10×65 Din 931</t>
  </si>
  <si>
    <t>Шайба 10 Din 125</t>
  </si>
  <si>
    <t>Гайка М10 Din 985</t>
  </si>
  <si>
    <t>Только при заказе данного комплекта поручней</t>
  </si>
  <si>
    <t>Только при заказе  рампы для въезда инвалидной коляски</t>
  </si>
  <si>
    <t>Только при заказе встроенного пульта управления</t>
  </si>
  <si>
    <t>Только при заказе дополнительных регулируемых упоров для рук</t>
  </si>
  <si>
    <t>Шайба 5 Din 127</t>
  </si>
  <si>
    <t>Крепление рампы к кронштейнам БД-01.05.00.200</t>
  </si>
  <si>
    <t>Крепление кронштейнов БД-01.05.00.200 к беговой дорожке</t>
  </si>
  <si>
    <t>Болт М8х24 Din 912, цвет чёрный</t>
  </si>
  <si>
    <t>Шайба 8 Din 125, цвет чёрный</t>
  </si>
  <si>
    <t>Шайба М8 Din 127, цвет чёрный</t>
  </si>
  <si>
    <t>Винт М5х8 Din 965, цвет чёрный</t>
  </si>
  <si>
    <t>Покрытие фосфат</t>
  </si>
  <si>
    <t>Шпилька (ось)</t>
  </si>
  <si>
    <t>Гайка М8 Din 985</t>
  </si>
  <si>
    <t>Шайба 8 Din 125</t>
  </si>
  <si>
    <t>Пластиковый колпачок на болт М8, TPD8</t>
  </si>
  <si>
    <t>Втулка</t>
  </si>
  <si>
    <t xml:space="preserve">http://www.zaglushka.ru/catalog/37/2991.html </t>
  </si>
  <si>
    <t>Рукоятка звездообразная Kipp К0152.4205×15</t>
  </si>
  <si>
    <t>Болт М10×30 Din 933</t>
  </si>
  <si>
    <t>Болт М8×30 Din 933</t>
  </si>
  <si>
    <t>Шайба 10 Din 127</t>
  </si>
  <si>
    <t>Пластмассовый колпачок на болт М10</t>
  </si>
  <si>
    <t>Пластмассовый колпа-чок на болт М8</t>
  </si>
  <si>
    <t>Шайба 8 Din 127</t>
  </si>
  <si>
    <t>Сиденье для медицинского персонала</t>
  </si>
  <si>
    <t>Смазывающая жидкость для полотна</t>
  </si>
  <si>
    <t>Датчик ЧСС Polar H7</t>
  </si>
  <si>
    <t>Переносной пульт управления (планшетный компьютер DNS Airtab MF1011)</t>
  </si>
  <si>
    <t>Паспорт</t>
  </si>
  <si>
    <t xml:space="preserve">Руководство по эксплуатации </t>
  </si>
  <si>
    <t>Технические условия</t>
  </si>
  <si>
    <t>Датчик ЧСС Polar H10</t>
  </si>
  <si>
    <t xml:space="preserve">RE-MARENA.RU </t>
  </si>
  <si>
    <t>Polar H7</t>
  </si>
  <si>
    <t>DNS Airtab MF1011</t>
  </si>
  <si>
    <t>ТУ 9444-009-68709709-2016</t>
  </si>
  <si>
    <t>Polar H10</t>
  </si>
  <si>
    <t>(силиконовая смазка для полотен REMARENA.RU, поставляется вместе с трубкой и шприцом для смазывания) - 100 мл</t>
  </si>
  <si>
    <t>Сиденье. Принадлежность.</t>
  </si>
  <si>
    <t>Шайба 3 ГОСТ 6958-98</t>
  </si>
  <si>
    <t>Шайба пружинная 3 ГОСТ 6402-70</t>
  </si>
  <si>
    <t>Гайка М3-6H.5 (S7) ГОСТ 5915-70</t>
  </si>
  <si>
    <t>Сетевой разъем трансформатора 2.5 кВА. Информационная наклейка.</t>
  </si>
  <si>
    <t>Трансформатор разделительный 2,5 кВА. Информационная наклейка.</t>
  </si>
  <si>
    <t>Передняя дуга безопасности для фиксированных 
поручней</t>
  </si>
  <si>
    <t>Передняя дуга безопасности для регулируемых поручней</t>
  </si>
  <si>
    <t>Рампа для въезда инвалидной коляски</t>
  </si>
  <si>
    <t>Комплект дополнительных регулируемых упоров для 
рук</t>
  </si>
  <si>
    <t>Упор левый</t>
  </si>
  <si>
    <t>Упор для рук левый. Принадлежность.</t>
  </si>
  <si>
    <t>Упор правый</t>
  </si>
  <si>
    <t>Упор для рук правый. Принадлежность.</t>
  </si>
  <si>
    <t xml:space="preserve">Рампа
</t>
  </si>
  <si>
    <t>Рампа для инв. коляски. Принадлежность.</t>
  </si>
  <si>
    <t>Дуга безопасности рег. Принадлежность</t>
  </si>
  <si>
    <t>Дуга безопасности фикс. Принадлежность.</t>
  </si>
  <si>
    <t>Левый регулируемый поручень</t>
  </si>
  <si>
    <t>Регулируемый поручень левый. Принадлежность.</t>
  </si>
  <si>
    <t>Правый регулируемый поручень с кронштейном для встроенного пульта управления (исполнение без подготовки под модуль СМ ЧСС) (в сборе)</t>
  </si>
  <si>
    <t>Правый регулируемый поручень с кронштейном для встроенного пульта управления (исполнение без подготовки под модуль СМ ЧСС)</t>
  </si>
  <si>
    <t>Регулируемый поручень правый с кронштейном. Принадлежность.</t>
  </si>
  <si>
    <t>Фиксированный малый поручень правый с кронштейном. Принадлежность.</t>
  </si>
  <si>
    <t>Правый фиксированный малый поручень с кронштейном для встроенного пульта управления (исполнение без подготовки под модуль СМ ЧСС)</t>
  </si>
  <si>
    <t>Правый фиксированный малый поручень с кронштейном для встроенного пульта управления (исполнение без подготовки под модуль СМ ЧСС) (в сборе)</t>
  </si>
  <si>
    <t>Левый фиксированный малый поручень</t>
  </si>
  <si>
    <t>Фиксированный малый поручень левый. Принадлежность.</t>
  </si>
  <si>
    <t>Левый фиксированный большой поручень</t>
  </si>
  <si>
    <t>Правый фиксированный большой поручень  с кронштейном для встроенного пульта управления (исполнение без подготовки под модуль СМ ЧСС)</t>
  </si>
  <si>
    <t>Фиксированный большой поручень левый. Принадлежность.</t>
  </si>
  <si>
    <t>Панель ХМИ. Информационная наклейка.</t>
  </si>
  <si>
    <t>ХМИ Разъем USB. Информационная наклейка.</t>
  </si>
  <si>
    <t>ХМИ Разъем питания. Информационная наклейка.</t>
  </si>
  <si>
    <t>Конд. Керам.     22пФ  50В   5% 0805 C0G</t>
  </si>
  <si>
    <t>Конд. Керам.   10мкФ 6.3В 10% 0805 X5R</t>
  </si>
  <si>
    <t>Конд. Керам.     1мкФ  16В   5% 0805 X7R</t>
  </si>
  <si>
    <t>Конд. Керам.   100нФ  50В   5% 0805 X7R</t>
  </si>
  <si>
    <t>Конд. Керам.  4.7мкФ  16В   5% 0805 X7R</t>
  </si>
  <si>
    <t>Конд. Алюм.  100мкФ  50В 20%</t>
  </si>
  <si>
    <t>Конд. Керам.     1мкФ  50В   5% 1812 X7R</t>
  </si>
  <si>
    <t>Конд. Керам.     10нФ  50В   5% 0805 X7R</t>
  </si>
  <si>
    <t>Конд. Керам.   47мкФ  16В 10% 1210 X5R</t>
  </si>
  <si>
    <t>Конд. Алюм.  470мкФ  16В 20%</t>
  </si>
  <si>
    <t>Конд. Керам.   220пФ  50В   5% 0805 X7R</t>
  </si>
  <si>
    <t>Конд. Алюм.  220мкФ  35В 20%</t>
  </si>
  <si>
    <t>Конд. Керам.    3.3нФ  50В   5% 0805 X7R</t>
  </si>
  <si>
    <t>Проходной Конд. Керам. 1.5мкФ 25В 6А 20% 1806</t>
  </si>
  <si>
    <t>Защитный диод 36.7 - 40.6В  1мкА  11.3А  53.3V</t>
  </si>
  <si>
    <t>Диод 50В 4/8А 570мВ</t>
  </si>
  <si>
    <t>Защитный диод 5.2 - 6.0В  600мкА  43.8А  8V</t>
  </si>
  <si>
    <t>Защитный диод 6.4 - 7.07В  800мкА  65.2А  9.2V</t>
  </si>
  <si>
    <t>ИОН TL431ACDBZT, SOT-23_3</t>
  </si>
  <si>
    <t>Операционный усил. 2.2-36В</t>
  </si>
  <si>
    <t>Часы RTC с I2C</t>
  </si>
  <si>
    <t>Контроллер USB 2.0 4-PORT хаб IC</t>
  </si>
  <si>
    <t>Приемопередатчик интерфейса RS-232</t>
  </si>
  <si>
    <t>Конвертер HDMI to ParallelBusDVI</t>
  </si>
  <si>
    <t>Конвертер ParallelBusDVI to 2 chanel LVDS</t>
  </si>
  <si>
    <t>Single Cell Li-Ion and Li-Pol Battery Charger 0.8A 3.5-28Vin</t>
  </si>
  <si>
    <t>И.диод 1.7-5.5В 50мΩ 4А</t>
  </si>
  <si>
    <t>Аудио усилитель 2Вт моно 5В</t>
  </si>
  <si>
    <t>Конвертер 2.5V to 5.5V Step Down Dual-Out 3.3V/1.8V 1A, 12-Pin, WDFN EP T/R</t>
  </si>
  <si>
    <t>Супервизор adj</t>
  </si>
  <si>
    <t>Пред. 15В 0.5А  1812</t>
  </si>
  <si>
    <t>Пред. 16В 2.5А  1812</t>
  </si>
  <si>
    <t>Пред. 60В 750mА  1812</t>
  </si>
  <si>
    <t>Пред. 24В 1.1А  1812</t>
  </si>
  <si>
    <t>Батарейный отсек CR2032</t>
  </si>
  <si>
    <t>Кнопка 24В 50мА 100мΩ TYCO; FSM16JH 100ks</t>
  </si>
  <si>
    <t>Ферит бусина 4А Z=470 Ω R=0,02 Ω 1206</t>
  </si>
  <si>
    <t>Ферит бусина 2.2А Z=220 Ω R=0,05 Ω 0603</t>
  </si>
  <si>
    <t>EMI фильтр. Частота среза 3.5GHz Recomended: HDMI до 36bit/color 1.11GHz</t>
  </si>
  <si>
    <t>Дроссель  39uH 20%  3.5A</t>
  </si>
  <si>
    <t>Дроссель 4.7uH 20%  2.1A</t>
  </si>
  <si>
    <t>Дроссель  68uH 20%  2.6A</t>
  </si>
  <si>
    <t>Кварц 12Мгц SMD</t>
  </si>
  <si>
    <t>Резистор      10 кΩ 125мВт   1% 0805 200ppm</t>
  </si>
  <si>
    <t>Резистор        1 кΩ 125мВт   1% 0805 200ppm</t>
  </si>
  <si>
    <t>Резистор       1 MΩ 125мВт   1% 0805 200ppm</t>
  </si>
  <si>
    <t>Резистор          0 Ω 125мВт   1% 0805 200ppm</t>
  </si>
  <si>
    <t>Резистор    100 кΩ 125мВт   1% 0805 200ppm</t>
  </si>
  <si>
    <t>Резистор      510 Ω 125мВт   1% 0805</t>
  </si>
  <si>
    <t>Резистор   30.1 кΩ 125мВт   1% 0805 200ppm</t>
  </si>
  <si>
    <t>Резистор      100 Ω 125мВт   1% 0805 200ppm</t>
  </si>
  <si>
    <t>Резистор     2.7 кΩ 125мВт   1% 0805 100ppm</t>
  </si>
  <si>
    <t>Резистор        20 Ω 125мВт   1% 0805 200ppm</t>
  </si>
  <si>
    <t>Резистор     3.6 кΩ 125мВт   1% 0805</t>
  </si>
  <si>
    <t>Резистор      12 кΩ 125мВт   1% 0805</t>
  </si>
  <si>
    <t>Резистор        2 кΩ 125мВт   1% 0805 100ppm</t>
  </si>
  <si>
    <t>Резистор      33 кΩ 125мВт   1% 0805</t>
  </si>
  <si>
    <t>Резистор     4.7 кΩ 125мВт   1% 0805</t>
  </si>
  <si>
    <t>Резистор        10 Ω 125мВт   1% 0805 200ppm</t>
  </si>
  <si>
    <t>Резистор    120 кΩ 125мВт   1% 0805 200ppm</t>
  </si>
  <si>
    <t>Резистор      56 кΩ 125мВт   1% 0805 200ppm</t>
  </si>
  <si>
    <t>Резистор      15 кΩ 125мВт   1% 0805 200ppm</t>
  </si>
  <si>
    <t>Резистор      62 кΩ 125мВт   1% 0805 200ppm</t>
  </si>
  <si>
    <t>Резистор     5.1 кΩ 125мВт   1% 0805</t>
  </si>
  <si>
    <t>Резистор          2 Ω 125мВт   1% 0805 200ppm</t>
  </si>
  <si>
    <t>Vin=8-40V 3A 260kHz Eff=94%</t>
  </si>
  <si>
    <t>Светодиод, GREEN</t>
  </si>
  <si>
    <t>MOSFET P-Channel -20В  -18А  8.0мΩ</t>
  </si>
  <si>
    <t>Разъем USB Type A SMT</t>
  </si>
  <si>
    <t>Разъем FPC 10pin 0.5mm</t>
  </si>
  <si>
    <t>Разъем USB Type A 2x4 Vertcl Dual Feml</t>
  </si>
  <si>
    <t>Разъем 40p  0.5мм LLC</t>
  </si>
  <si>
    <t>Разъем на плату угловой 103635-2</t>
  </si>
  <si>
    <t>Разъем на плату угловой 103635-1</t>
  </si>
  <si>
    <t>Разъем на плату угловой 103635-4</t>
  </si>
  <si>
    <t>Разъем SD Micro ATTEND</t>
  </si>
  <si>
    <t>Разъем DDR2 SODIMM 200p</t>
  </si>
  <si>
    <t>GRM2165C1H220JZ01D</t>
  </si>
  <si>
    <t>CC0805KKX5R5BB106</t>
  </si>
  <si>
    <t>C0805C105J4RAC</t>
  </si>
  <si>
    <t>C0805C104J5RAC7210</t>
  </si>
  <si>
    <t>C0805C475J4RACAUTO7210</t>
  </si>
  <si>
    <t>MAL215097101E3</t>
  </si>
  <si>
    <t>VJ1812Y105JXAAR</t>
  </si>
  <si>
    <t>C0805C103J5RACTU</t>
  </si>
  <si>
    <t>GRM32ER61C476KE15L</t>
  </si>
  <si>
    <t>MAL215097501E3</t>
  </si>
  <si>
    <t>VJ0805A221JXAAC</t>
  </si>
  <si>
    <t>MAL215097001E3</t>
  </si>
  <si>
    <t>C0805C332J5GAC</t>
  </si>
  <si>
    <t>NFM41PC155B1E3L</t>
  </si>
  <si>
    <t>SMBJ33A</t>
  </si>
  <si>
    <t>V8PAL50-M3/I</t>
  </si>
  <si>
    <t>PTVS3V3S1UR</t>
  </si>
  <si>
    <t>SMBJ5.0A</t>
  </si>
  <si>
    <t>TL431ACDBZT, SOT-23_3</t>
  </si>
  <si>
    <t>OPA244NA/250</t>
  </si>
  <si>
    <t>DS3231SN, SOIC-16</t>
  </si>
  <si>
    <t>FE1.1s, SSOP-28</t>
  </si>
  <si>
    <t>MAX3232EID, SOIC-16</t>
  </si>
  <si>
    <t>TFP401A</t>
  </si>
  <si>
    <t>DS90C387A</t>
  </si>
  <si>
    <t>bq21040</t>
  </si>
  <si>
    <t>LTC4415IMSE</t>
  </si>
  <si>
    <t>TPA2000D1</t>
  </si>
  <si>
    <t>PAM2306AYPKE</t>
  </si>
  <si>
    <t>TPS3701DDCT</t>
  </si>
  <si>
    <t>MF-MSMF050-2</t>
  </si>
  <si>
    <t>MF-MSMF250/16-2</t>
  </si>
  <si>
    <t>MF-SM075/60</t>
  </si>
  <si>
    <t>MF-MSMF110/24X</t>
  </si>
  <si>
    <t>S8421-45R</t>
  </si>
  <si>
    <t>3-1825910-1</t>
  </si>
  <si>
    <t>BLM31KN471SN1L _1</t>
  </si>
  <si>
    <t>MPZ1608S221</t>
  </si>
  <si>
    <t>ACM2012D-900-2P</t>
  </si>
  <si>
    <t>CDRH127/LDNP-390M</t>
  </si>
  <si>
    <t>XFL4030-472ME</t>
  </si>
  <si>
    <t>CDRH127/LDNP-680M</t>
  </si>
  <si>
    <t>KX-9AT 12.0 MHz</t>
  </si>
  <si>
    <t>RC0805FR-0710KL</t>
  </si>
  <si>
    <t>RC0805FR-071KL</t>
  </si>
  <si>
    <t>RC0805FR-071ML</t>
  </si>
  <si>
    <t>AC0805FR-070RL</t>
  </si>
  <si>
    <t>RC0805FR-07100KL</t>
  </si>
  <si>
    <t>RC0805FR-07510RL</t>
  </si>
  <si>
    <t>RC0805FR-0730K1L</t>
  </si>
  <si>
    <t>RC0805FR-07100RL</t>
  </si>
  <si>
    <t>RC0805FR-072K7L</t>
  </si>
  <si>
    <t>RC0805FR-0720RL</t>
  </si>
  <si>
    <t>RC0805FR-073K6L</t>
  </si>
  <si>
    <t>RC0805FR-0712KL</t>
  </si>
  <si>
    <t>RC0805FR-072KL</t>
  </si>
  <si>
    <t>RC0805FR-0733KL</t>
  </si>
  <si>
    <t>RC0805FR-074K7L</t>
  </si>
  <si>
    <t>RC0805FR-0710RL</t>
  </si>
  <si>
    <t>RC0805FR-07120KL</t>
  </si>
  <si>
    <t>RC0805FR-0756KL</t>
  </si>
  <si>
    <t>RC0805FR-0715KL</t>
  </si>
  <si>
    <t>RC0805FR-0762KL</t>
  </si>
  <si>
    <t>RC0805FR-075K1L</t>
  </si>
  <si>
    <t>RC0805FR-072RL</t>
  </si>
  <si>
    <t>LM2676S-ADJ</t>
  </si>
  <si>
    <t>KPG1-1608VGC-TT-5MAV, 1608</t>
  </si>
  <si>
    <t>FDMC510P</t>
  </si>
  <si>
    <t>629104190121</t>
  </si>
  <si>
    <t>XF2M-1015-1A</t>
  </si>
  <si>
    <t>614008235023</t>
  </si>
  <si>
    <t>0512964094</t>
  </si>
  <si>
    <t>103635-2</t>
  </si>
  <si>
    <t>103635-1</t>
  </si>
  <si>
    <t>103635-4</t>
  </si>
  <si>
    <t>112C-TBAR-R02</t>
  </si>
  <si>
    <t>DDR2 SODIMM</t>
  </si>
  <si>
    <t>Скоба</t>
  </si>
  <si>
    <t>Корпус</t>
  </si>
  <si>
    <t>https://www.superbolt.ru/catalog/samorezy/samorez_s_polukrugloy_golovkoy_dlya_plastika_s_tupym_kontsom_pod_krest/</t>
  </si>
  <si>
    <t>3x10 A2 9091</t>
  </si>
  <si>
    <t>4шт. Возможно входят в комплект корпуса</t>
  </si>
  <si>
    <t>PCSN-12</t>
  </si>
  <si>
    <t>Стойка латунная для печатной платы M3 круглая D=5мм (KLS)</t>
  </si>
  <si>
    <t>Алюминиевая клейкая лента 5001 с лайнером, 50мкр</t>
  </si>
  <si>
    <t>FPC-0,5-40-100</t>
  </si>
  <si>
    <t>Шлейф пленочный шаг 0,5мм прямой под разъем</t>
  </si>
  <si>
    <t>https://neokt.ru/ru/katalog/shlejf-pljonochnyj-shag-0-5mm-pod-raz-jom/fpc-0-5-40-100</t>
  </si>
  <si>
    <t>Стержни для термоклей-пистолетов</t>
  </si>
  <si>
    <t>Печатная плата ХМИ</t>
  </si>
  <si>
    <t>Правый регулируемый поручень без кронштейна для встроенного пульта управления (исполнение без подготовки под модуль СМ ЧСС)</t>
  </si>
  <si>
    <t>Регулируемый поручень правый. Принадлежность.</t>
  </si>
  <si>
    <t>Правый фиксированный малый поручень без кронштейна для встроенного пульта управления (исполнение без подготовки под модуль СМ ЧСС)</t>
  </si>
  <si>
    <t>Фиксированный малый поручень правый. Принадлежность.</t>
  </si>
  <si>
    <t>Правый фиксированный большой поручень без кронштейна для встроенного пульта управления (исполнение без подготовки под модуль СМ ЧСС)</t>
  </si>
  <si>
    <t>Фиксированный большой поручень правый. Принадлежность.</t>
  </si>
  <si>
    <t>Вал ведущий</t>
  </si>
  <si>
    <t>Вал ведомый</t>
  </si>
  <si>
    <t>Ножка</t>
  </si>
  <si>
    <t>Рамка подъемника</t>
  </si>
  <si>
    <t>Труба</t>
  </si>
  <si>
    <t>Дека</t>
  </si>
  <si>
    <t>Шайба</t>
  </si>
  <si>
    <t>Беговое полотно</t>
  </si>
  <si>
    <t>2RXA 7io-0 f80 Black Двухслойный, цвет черный, верхняя поверхность ПВХ профиль "гольф" 0,9мм, нижняя поверхность полиестер, толщина 2, нормальное огибание 30, обратное огибание 60, температурный диапазон от -15 до +90С. Косой шов, направляющая ПВХ 6х4, поверхность крепления нижняя, по центру, 1шт. Длина - 3280 мм. Ширина - 600 мм.</t>
  </si>
  <si>
    <t>Буфер</t>
  </si>
  <si>
    <t>Фанера</t>
  </si>
  <si>
    <t>Техпластина ТМКШ 8мм 26х26мм (ШхД)</t>
  </si>
  <si>
    <t>Техпластина ТМКШ 8мм 20х40мм (ШхД)</t>
  </si>
  <si>
    <t>Ремень зубчатый</t>
  </si>
  <si>
    <t>HTD 925-8M-20 CXP</t>
  </si>
  <si>
    <t>Заглушка пластиковая 100х50 цвет черный</t>
  </si>
  <si>
    <t>Колесо подвилочное LR90 d80мм, ширина 60мм</t>
  </si>
  <si>
    <t>Гайка M10 Din 985</t>
  </si>
  <si>
    <t>Шайба 6 Din 125</t>
  </si>
  <si>
    <t>Шкив</t>
  </si>
  <si>
    <t>Ось вала</t>
  </si>
  <si>
    <t>Винт M8x30 Din 912</t>
  </si>
  <si>
    <t>Кольцо стопорное наружное 19 Din 471</t>
  </si>
  <si>
    <t>Подшипник 1501-2RS</t>
  </si>
  <si>
    <t>Опора</t>
  </si>
  <si>
    <t>Опора резиновая</t>
  </si>
  <si>
    <t>Шпилька</t>
  </si>
  <si>
    <t>Перемычка</t>
  </si>
  <si>
    <t>30x30x2 ГОСТ 8645-68 Ст4пс ГОСТ 13663-86 L=690-1мм</t>
  </si>
  <si>
    <t>30x30x2 ГОСТ 8645-68 Ст4пс ГОСТ 13663-86 L=160-1мм</t>
  </si>
  <si>
    <t>Косынка</t>
  </si>
  <si>
    <t>Ухо</t>
  </si>
  <si>
    <t>Кожух</t>
  </si>
  <si>
    <t>Колесо</t>
  </si>
  <si>
    <t>РП.09.35 (ТК09.35)</t>
  </si>
  <si>
    <t>Потайная ручка, установочный размер 49х90мм, пластик, цвет чёрный</t>
  </si>
  <si>
    <t>Синдик-Волга</t>
  </si>
  <si>
    <t>LRA-VPA 50K-Fl</t>
  </si>
  <si>
    <t>http://syndic.ru/wheels-and-castors/light-duty-wheels-castors/vpa-vga/lra-vpa-bra-vpa-lkra-vpa-bkra-vpa-lkra-vga-bkra-vga/</t>
  </si>
  <si>
    <t>ООО "МОДУЛЬ"</t>
  </si>
  <si>
    <t>https://metalkorpus.ru/produkciya/furnitura-dlya-metallicheskih-shkafov-i-podstanciy/ruchki/</t>
  </si>
  <si>
    <t>Шайба 2 Din 127</t>
  </si>
  <si>
    <t>Пластиковая заглушка на болт/гайку М10</t>
  </si>
  <si>
    <t>Ручка поролоновая черная</t>
  </si>
  <si>
    <t xml:space="preserve">Рукоятка звездообразная Din 6336 </t>
  </si>
  <si>
    <t>K 0152.44008x20</t>
  </si>
  <si>
    <t>Втулка предохранительная резиновая 14-6 ГОСТ 19421-74</t>
  </si>
  <si>
    <t>Ввод кабельный PG-9, нейлон, IP68, цвет черный</t>
  </si>
  <si>
    <t>Шасси асинхронного двигателя</t>
  </si>
  <si>
    <t>Прижимная втулка</t>
  </si>
  <si>
    <t>Оптический диск</t>
  </si>
  <si>
    <t>Кабельный ввод PG 13.5 латунный</t>
  </si>
  <si>
    <t>Лента металлизированная Klebebander</t>
  </si>
  <si>
    <t>60х40</t>
  </si>
  <si>
    <t>Болт М10х16 Din 933</t>
  </si>
  <si>
    <t>Шайба 10 Din 9021</t>
  </si>
  <si>
    <t>Натяжитель Ремня</t>
  </si>
  <si>
    <t>Винт М6х20 Din 912</t>
  </si>
  <si>
    <t>Шайба 6 Din 127</t>
  </si>
  <si>
    <t>Шайба 5 Din 125</t>
  </si>
  <si>
    <t>Стенка задняя</t>
  </si>
  <si>
    <t>Боковая стенка</t>
  </si>
  <si>
    <t>Винт М6х20 Din 7985</t>
  </si>
  <si>
    <t>Винт М5х16 Din 7985</t>
  </si>
  <si>
    <t>Болт М10х16 Din 931</t>
  </si>
  <si>
    <t>Винт М4х12 Din 7985</t>
  </si>
  <si>
    <t>Плата мягкого пуска трансформатора (Печатный узел)</t>
  </si>
  <si>
    <t>Плата системы разгрузки (Печатный узел)</t>
  </si>
  <si>
    <t>Радиатор HS183-70</t>
  </si>
  <si>
    <t>https://navi-expert.ru/p42195665-kreplenie-ram-mufta.html</t>
  </si>
  <si>
    <t>Крепление RAM® 95 мм муфта под шары 25 мм (1"), алюминий.</t>
  </si>
  <si>
    <t>RAM-B-201U</t>
  </si>
  <si>
    <t>https://navi-expert.ru/p43448377-kreplenie-ram-kruglaya.html</t>
  </si>
  <si>
    <t>RAM-B-202U</t>
  </si>
  <si>
    <t>Крепление RAM® круглая площадка 64 мм с отверстиями AMPS. Шар 25 мм (1"), алюминий.</t>
  </si>
  <si>
    <t>Шайба фторопласт</t>
  </si>
  <si>
    <t>F 6-12 M</t>
  </si>
  <si>
    <t>Подшипник</t>
  </si>
  <si>
    <t>https://navi-expert.ru/p370618084-rap-397bnhu-shar.html</t>
  </si>
  <si>
    <t>RAP-B-397BNHU</t>
  </si>
  <si>
    <t>шар RAM® Pin-Lock™ 25 мм (1") с круглым основанием и сквозным отверстием для крепления</t>
  </si>
  <si>
    <t xml:space="preserve">Болт M6х60 Din7985 </t>
  </si>
  <si>
    <t>FISCHER ELEKTRONIK</t>
  </si>
  <si>
    <t>https://www.tme.eu/ru/details/ickbga14x14x10/radiatory/fischer-elektronik/ick-bga-14-x-14-x-10/</t>
  </si>
  <si>
    <t>https://www.tme.eu/ru/details/ickbga10x10x10/radiatory/fischer-elektronik/ick-bga-10-x-10-x-10/</t>
  </si>
  <si>
    <t>https://www.tme.eu/ru/details/ickbga14x14/radiatory/fischer-elektronik/</t>
  </si>
  <si>
    <t>Наименование   [Синий - последние изменения]</t>
  </si>
  <si>
    <t>Вилка на плату 15EDGVC-3.81-02P-14-00A(H)</t>
  </si>
  <si>
    <t>Вилка на плату 15EDGVC-3.81-03P-14-00A(H)</t>
  </si>
  <si>
    <t>Диод SS15-DC, SMA</t>
  </si>
  <si>
    <t>Диод шоттки 45V 20A</t>
  </si>
  <si>
    <t>Диодный мост GBK15B, GBK</t>
  </si>
  <si>
    <t>Керам. ЧИП конд. 1,0 мкФ - 50 В - X7R - 10 % - 0805</t>
  </si>
  <si>
    <t>Керам. ЧИП конд. 4,7 мкФ - 100 В - X7S - 20 % - 1206</t>
  </si>
  <si>
    <t>Конденсатор 63В, 5600мкФ</t>
  </si>
  <si>
    <t>Конденсатор SH 100 мкФ - 35 В (8х11)</t>
  </si>
  <si>
    <t>Реле RT424024, 24VDC / 8А</t>
  </si>
  <si>
    <t>Реле TRD-24VDC-SB-CL, 24VDC / 12A</t>
  </si>
  <si>
    <t>Стабилизатор напряжения L200CV</t>
  </si>
  <si>
    <t>Стабилитрон TZMB10-GS08, SOD-80</t>
  </si>
  <si>
    <t>Стабилитрон TZMB12-GS08, SOD-80</t>
  </si>
  <si>
    <t>Стабилитрон TZMB27-GS08, SOD-80</t>
  </si>
  <si>
    <t>Стабилитрон TZMB5V1-GS08, SOD-80</t>
  </si>
  <si>
    <t>Термистор NTC 10 кОм - 60 мВт - 1%</t>
  </si>
  <si>
    <t>Транзистор BC847С, SOT-23</t>
  </si>
  <si>
    <t>Транзистор BC857С, SOT-23</t>
  </si>
  <si>
    <t>Транзистор STD65N55F3, DPAK</t>
  </si>
  <si>
    <t>Транзистор 2SD2560, TO-3P</t>
  </si>
  <si>
    <t>Чип резистор 0,75 Ом - 1,0 Вт - 5% - 2512</t>
  </si>
  <si>
    <t>Чип резистор 1 кОм - 0,25 Вт - 5% - 1206</t>
  </si>
  <si>
    <t>Чип резистор 10 кОм - 0,25 Вт - 5% - 1206</t>
  </si>
  <si>
    <t>Чип резистор 12 кОм - 0,25 Вт - 1% - 1206</t>
  </si>
  <si>
    <t>Чип резистор 2 кОм - 0,25 Вт - 5% - 1206</t>
  </si>
  <si>
    <t>Чип резистор 20 кОм - 0,25 Вт - 5% - 1206</t>
  </si>
  <si>
    <t>Чип резистор 3 кОм - 0,25 Вт - 5% - 1206</t>
  </si>
  <si>
    <t>Чип резистор 330 Ом - 0,25 Вт - 5% - 1206</t>
  </si>
  <si>
    <t>Чип резистор 4.3 кОм - 0,25 Вт - 5% - 1206</t>
  </si>
  <si>
    <t>Чип резистор 430 Ом - 0,25 Вт - 5% - 1206</t>
  </si>
  <si>
    <t>Чип резистор 5.1 кОм - 0,25 Вт - 5% - 1206</t>
  </si>
  <si>
    <t>Чип резистор 51 кОм - 0,25 Вт - 5% - 1206</t>
  </si>
  <si>
    <t>Чип резистор 56 Ом - 0,25 Вт - 5% - 1206</t>
  </si>
  <si>
    <t>Чип резистор 7.32 кОм - 0,25 Вт - 1% - 1206</t>
  </si>
  <si>
    <t>Чип резистор 820 Ом - 0,25 Вт - 1% - 1206</t>
  </si>
  <si>
    <t>Чип резистор 910 Ом - 0,25 Вт - 5% - 1206</t>
  </si>
  <si>
    <t>15EDGRC-3.81-02P-14-00A(H)</t>
  </si>
  <si>
    <t>15EDGVC-3.81-02P-14-00A(H)</t>
  </si>
  <si>
    <t>15EDGVC-3.81-03P-14-00A(H)</t>
  </si>
  <si>
    <t>SS15-DC, SMA</t>
  </si>
  <si>
    <t>VS-20CTQ045SPBF, D2PACK</t>
  </si>
  <si>
    <t>GBK15B, GBK</t>
  </si>
  <si>
    <t>GRM21BR71H105KA12L</t>
  </si>
  <si>
    <t>12061Z475MAT2A</t>
  </si>
  <si>
    <t>63MXG5600MEFCSN35X25</t>
  </si>
  <si>
    <t>SH035M0100A5S-0811</t>
  </si>
  <si>
    <t>RT424024</t>
  </si>
  <si>
    <t>TRD-24VDC-SB-CL</t>
  </si>
  <si>
    <t>L200CV</t>
  </si>
  <si>
    <t>TZMB10-GS08, SOD-80</t>
  </si>
  <si>
    <t>TZMB12-GS08, SOD-80</t>
  </si>
  <si>
    <t>TZMB27-GS08, SOD-80</t>
  </si>
  <si>
    <t>TZMB5V1-GS08, SOD-80</t>
  </si>
  <si>
    <t>B57861S0103F040</t>
  </si>
  <si>
    <t>BC847С, SOT-23</t>
  </si>
  <si>
    <t>BC857С, SOT-23</t>
  </si>
  <si>
    <t>STD65N55F3, DPAK</t>
  </si>
  <si>
    <t>2SD2560, TO-3P</t>
  </si>
  <si>
    <t>WSR3R1500FEA</t>
  </si>
  <si>
    <t>RL2512JK-070R75L</t>
  </si>
  <si>
    <t>RC1206JR-071KL</t>
  </si>
  <si>
    <t>RC1206JR-0710KL</t>
  </si>
  <si>
    <t>RC1206FR-0712KL</t>
  </si>
  <si>
    <t>RC1206JR-072KL</t>
  </si>
  <si>
    <t>RC1206JR-0720KL</t>
  </si>
  <si>
    <t>RC1206JR-073KL</t>
  </si>
  <si>
    <t>RC1206JR-07330RL</t>
  </si>
  <si>
    <t>RC1206JR-074K3L</t>
  </si>
  <si>
    <t>RC1206JR-07430RL</t>
  </si>
  <si>
    <t>RC1206JR-075K1L</t>
  </si>
  <si>
    <t>RC1206JR-0751KL</t>
  </si>
  <si>
    <t>RC1206JR-0756RL</t>
  </si>
  <si>
    <t>RC1206FR-077K32L</t>
  </si>
  <si>
    <t>RC1206JR-07820RL</t>
  </si>
  <si>
    <t>RC1206JR-07910RL</t>
  </si>
  <si>
    <t>Плата системы управления (Печатный узел)</t>
  </si>
  <si>
    <t>Керам. ЧИП конд. 220 пФ - 50 В - X7R - 10 % - 0805</t>
  </si>
  <si>
    <t>GRM15XR71H221KA86D</t>
  </si>
  <si>
    <t>Керам. ЧИП конд. 0,022 мкФ - 50 В - X7R - 10 % - 0805</t>
  </si>
  <si>
    <t>CC0805KRX7R9BB223</t>
  </si>
  <si>
    <t>Конденсатор класс X1, Y1 2200 пФ - 250 В - 4000 В</t>
  </si>
  <si>
    <t>DE1E3KX222MA5BA01</t>
  </si>
  <si>
    <t>Тант. ЧИП конденсатор 10мкФ - 16 В - тип A</t>
  </si>
  <si>
    <t>Тант. ЧИП конденсатор 1мкФ - 20 В - тип A</t>
  </si>
  <si>
    <t>Конденсатор К73-17 1000 пФ - 400 В</t>
  </si>
  <si>
    <t>Конденсатор К73-17 0,01 мкФ - 400 В</t>
  </si>
  <si>
    <t>Керам. ЧИП конд. 4,7 мкФ - 25 В - X5R - 10 % - 0805</t>
  </si>
  <si>
    <t>Керам. ЧИП конд. 0,33 мкФ - 50 В - X7R - 10 % - 0805</t>
  </si>
  <si>
    <t>Тант. ЧИП конденсатор 22 мкФ - 25 В - тип С</t>
  </si>
  <si>
    <t>Керам. ЧИП конд. 22 пФ - 50 В - C0G - 5 % - 0805</t>
  </si>
  <si>
    <t>Керам. ЧИП конд. 2,2 мкФ - 25 В - X5R - 10 % - 0805</t>
  </si>
  <si>
    <t>Керам. ЧИП конд. 1000 пФ - 100 В - C0G - 5 % - 0805</t>
  </si>
  <si>
    <t>Конденсатор MKT 2,2 мкФ - 40VAC - 63VDC</t>
  </si>
  <si>
    <t>Керам. ЧИП конд. 4,7 мкФ - 50 В - X7R - 10 % - 1206</t>
  </si>
  <si>
    <t>TR3A106K016C1700</t>
  </si>
  <si>
    <t>TR3A105K020C3000</t>
  </si>
  <si>
    <t>К73-17 1000 пФ - 400 В</t>
  </si>
  <si>
    <t>К73-17 0,01 мкФ - 400 В</t>
  </si>
  <si>
    <t>GRM21BR61E475KA12L</t>
  </si>
  <si>
    <t>GRM219R71H334KA88D</t>
  </si>
  <si>
    <t>TR3C226K025C0400</t>
  </si>
  <si>
    <t>GRM219R61E225KA12D</t>
  </si>
  <si>
    <t>GRM2165C2A102JA01D</t>
  </si>
  <si>
    <t>B32529D0225K289</t>
  </si>
  <si>
    <t>CL31B475KBHNNNE</t>
  </si>
  <si>
    <t>Конденсатор SH 1000 мкФ - 35 В (13х20)</t>
  </si>
  <si>
    <t>Конденсатор SH 10 мкФ - 16 В (5х11)</t>
  </si>
  <si>
    <t>SH035M1000A5S-1320</t>
  </si>
  <si>
    <t>SH016M0010B2F-0511</t>
  </si>
  <si>
    <t>Керам. ЧИП конд. 0,01 мкФ - 100 В - X7R - 10 % - 0805</t>
  </si>
  <si>
    <t>CC0805KRX7R0BB103</t>
  </si>
  <si>
    <t>Конденсатор CA 100 мкФ - 50 В (8х10)</t>
  </si>
  <si>
    <t>Конденсатор SH 330 мкФ - 35 В (10х15)</t>
  </si>
  <si>
    <t>Конденсатор SJ 470 мкФ - 16 В (8х15)</t>
  </si>
  <si>
    <t>Конденсатор CB 100 мкФ - 35 В (6х7)</t>
  </si>
  <si>
    <t>Конденсатор MKP 0,47 мкФ - 305 В</t>
  </si>
  <si>
    <t>Оптопара ILD206T, SOIC-8</t>
  </si>
  <si>
    <t>Микросхема AD8541ART, SOT-23-5</t>
  </si>
  <si>
    <t>Преобразователь JCH1024S24, 24 В / 24 В, 416 мА</t>
  </si>
  <si>
    <t>Преобразователь PSD1-A-2405E, SMD(1Wt)</t>
  </si>
  <si>
    <t>Преобразователь JCJ0824S05, 24 В / 5 В, 1,5 А</t>
  </si>
  <si>
    <t>Микросхема LD1117S33TR, SOT-223</t>
  </si>
  <si>
    <t>Микросхема TL431ACDBVT, SOT-23-5</t>
  </si>
  <si>
    <t>Оптосимистор MOC3023, DIP6</t>
  </si>
  <si>
    <t>Оптопара PC817, DIP-4</t>
  </si>
  <si>
    <t>Микросхема MAX485ESA, SO-8</t>
  </si>
  <si>
    <t>Микросхема OPA2244, SOIC8</t>
  </si>
  <si>
    <t>Микросхема LIS3LV02DL, LGA-16</t>
  </si>
  <si>
    <t>Оптопара VO617A-3X007T, SMD4</t>
  </si>
  <si>
    <t>Микросхема MAX3232EID, SOIC-D</t>
  </si>
  <si>
    <t>Микросхема M24C04-WMN6TP, SO-8</t>
  </si>
  <si>
    <t>Микросхема STM32F103RСT6, LQFP-64, 256 KBytes Flash, 48 KBytes SRAM</t>
  </si>
  <si>
    <t>CA050M0100REF-0810</t>
  </si>
  <si>
    <t>SH035M0330A5S-1015</t>
  </si>
  <si>
    <t>SJ016M0470B3F-0815</t>
  </si>
  <si>
    <t>CB035M0100RSH-0607</t>
  </si>
  <si>
    <t>B32922C3474M</t>
  </si>
  <si>
    <t>ILD206T, SOIC-8</t>
  </si>
  <si>
    <t>AD8541ART, SOT-23-5</t>
  </si>
  <si>
    <t>JCH1024S24</t>
  </si>
  <si>
    <t>PSD1-A-2405E</t>
  </si>
  <si>
    <t>JCJ0824S05</t>
  </si>
  <si>
    <t>LD1117S33TR, SOT-223</t>
  </si>
  <si>
    <t>TL431ACDBVT</t>
  </si>
  <si>
    <t>MOC3023</t>
  </si>
  <si>
    <t>PC817, DIP-4</t>
  </si>
  <si>
    <t>MAX485ESA, SO-8</t>
  </si>
  <si>
    <t>OPA2244, SOIC8</t>
  </si>
  <si>
    <t>LIS3LV02DL, LGA-16</t>
  </si>
  <si>
    <t>VO617A-3X007T, SMD4</t>
  </si>
  <si>
    <t>MAX3232EID, SOIC-D</t>
  </si>
  <si>
    <t>M24C04-WMN6TP, SO-8</t>
  </si>
  <si>
    <t>STM32F103RСT6, LQFP-64</t>
  </si>
  <si>
    <t>Паяемая перемычка</t>
  </si>
  <si>
    <t>SOLDER_JUMPER</t>
  </si>
  <si>
    <t>Реле IM07GR, 24VDC / 2А</t>
  </si>
  <si>
    <t>IM07GR</t>
  </si>
  <si>
    <t>Дроссель BLM21 - 220 Ом -  2 А - 0805</t>
  </si>
  <si>
    <t>BLM21PG221SN1</t>
  </si>
  <si>
    <t>Дроссель двухобмоточный 2х1000 Ом - 200 В</t>
  </si>
  <si>
    <t>CPFC74NP-CB10M4</t>
  </si>
  <si>
    <t>Дроссель LQM21 - 10 мкГн -  60 мА - 0805</t>
  </si>
  <si>
    <t>LQM21FN100N00L</t>
  </si>
  <si>
    <t>Дроссель LQM21 - 4,7 мкГн -  80 мА - 0805</t>
  </si>
  <si>
    <t>LQM21FN4R7N</t>
  </si>
  <si>
    <t>Дроссель двухобмоточный 200 мкГн - Ethernet</t>
  </si>
  <si>
    <t>ACT45L-201-2P-TL000</t>
  </si>
  <si>
    <t>Дроссель двухобмоточный 90 Ом - 330 мА</t>
  </si>
  <si>
    <t>DLW21SN900SQ2</t>
  </si>
  <si>
    <t>Дроссель двухобмоточный 2х250 мкГн - 1,2 А - 80 В</t>
  </si>
  <si>
    <t>SRF0905-251Y</t>
  </si>
  <si>
    <t>Дроссель двухобмоточный 350 Ом - 2,0 А - 50 В</t>
  </si>
  <si>
    <t>DLW5BSN351SQ2L</t>
  </si>
  <si>
    <t>Дроссель двухобмоточный 190 Ом - 5,0 А - 50 В</t>
  </si>
  <si>
    <t>DLW5BSN191SQ2L</t>
  </si>
  <si>
    <t>Дроссель LQM21 - 10 мкГн -  0,1 А - 0805</t>
  </si>
  <si>
    <t>LQM21FN100M70L</t>
  </si>
  <si>
    <t>Дроссель LQH32 - 10 мкГн -  0,3 А</t>
  </si>
  <si>
    <t>LQH32CN100K23L</t>
  </si>
  <si>
    <t>Индуктивность 100 мкГн - 2,1 А - 20 % - SMD</t>
  </si>
  <si>
    <t>CDRH127-LDNP-101MC</t>
  </si>
  <si>
    <t>Дроссель PLY10AN1521R6R2</t>
  </si>
  <si>
    <t>PLY10AN1521R6R2</t>
  </si>
  <si>
    <t>Кварцевый резонатор KX-9A, 8,000 МГц, SMD</t>
  </si>
  <si>
    <t>KX-9A</t>
  </si>
  <si>
    <t>Чип резистор 2,2 кОм - 0,25 Вт - 5% - 1206</t>
  </si>
  <si>
    <t>RC1206JR-0712K2L</t>
  </si>
  <si>
    <t>Чип резистор 1,2 кОм - 0,25 Вт - 5% - 1206</t>
  </si>
  <si>
    <t>RC1206JR-071K2L</t>
  </si>
  <si>
    <t>Чип резистор 4,7 кОм - 0,25 Вт - 5% - 1206</t>
  </si>
  <si>
    <t>Чип резистор 680 Ом - 0,125 Вт - 5% - 0805</t>
  </si>
  <si>
    <t>Чип резистор 180 Ом - 0,125 Вт - 5% - 0805</t>
  </si>
  <si>
    <t>Чип резистор 300 Ом - 0,125 Вт - 1% - 0805</t>
  </si>
  <si>
    <t>Чип резистор 2,7 кОм - 0,125 Вт - 1% - 0805</t>
  </si>
  <si>
    <t>Чип резистор 10 кОм - 0,125 Вт - 5% - 0805</t>
  </si>
  <si>
    <t>Чип резистор 10,0 кОм - 0,125 Вт - 1% - 0805</t>
  </si>
  <si>
    <t>Чип резистор 100 Ом - 0,125 Вт - 5% - 0805</t>
  </si>
  <si>
    <t>Чип резистор 510 Ом - 0,125 Вт - 5% - 0805</t>
  </si>
  <si>
    <t>Резистор С1-4 - 0,5 Вт - 5% - 300 Ом</t>
  </si>
  <si>
    <t>Резистор С1-4 - 0,5 Вт - 5% - 30 кОм</t>
  </si>
  <si>
    <t>Резистор С1-4 - 0,5 Вт - 5% - 39 Ом</t>
  </si>
  <si>
    <t>Резистор проволочный SQP 100 кОм - 5Вт - 5%</t>
  </si>
  <si>
    <t>Чип резистор 4,7 кОм - 0,125 Вт - 5 % - 0805</t>
  </si>
  <si>
    <t>Чип резистор 1,0 кОм - 0,125 Вт - 5 % - 0805</t>
  </si>
  <si>
    <t>Чип резистор 330 Ом - 0,125 Вт - 5% - 0805</t>
  </si>
  <si>
    <t>Чип резистор 324 Ом - 0,125 Вт - 1% - 0805</t>
  </si>
  <si>
    <t>Чип резистор 100 кОм - 0,125 Вт - 5% - 0805</t>
  </si>
  <si>
    <t>RC1206JR-074K7L</t>
  </si>
  <si>
    <t>RC0805JR-07680RL</t>
  </si>
  <si>
    <t>RC0805JR-07180RL</t>
  </si>
  <si>
    <t>RC0805FR-07300RL</t>
  </si>
  <si>
    <t>RC0805JR-0710KL</t>
  </si>
  <si>
    <t>RC0805JR-07100RL</t>
  </si>
  <si>
    <t>RC0805JR-07510RL</t>
  </si>
  <si>
    <t>CF-50 (С1-4) 0.5 Вт, 300 Ом</t>
  </si>
  <si>
    <t>CF-50 (С1-4) 0.5 Вт, 30 кОм</t>
  </si>
  <si>
    <t>CF-50 (С1-4) 0.5 Вт, 39 Ом</t>
  </si>
  <si>
    <t>SQP5-100K</t>
  </si>
  <si>
    <t>RC0805JR-074K7L</t>
  </si>
  <si>
    <t>RC0805JR-071KL</t>
  </si>
  <si>
    <t>RC0805JR-07330RL</t>
  </si>
  <si>
    <t>RC0805FR-07324RL</t>
  </si>
  <si>
    <t>RC0805JR-07100KL</t>
  </si>
  <si>
    <t>Чип резистор 536 Ом - 0,125 Вт - 1% - 0805</t>
  </si>
  <si>
    <t>Чип резистор 0,1 Ом - 1,0 Вт - 1% - 2512</t>
  </si>
  <si>
    <t>Чип резистор 120 Ом - 0,125 Вт - 5% - 0805</t>
  </si>
  <si>
    <t>Чип резистор 560 Ом - 0,125 Вт - 5% - 0805</t>
  </si>
  <si>
    <t>Чип резистор 2,2 кОм - 0,125 Вт - 5% - 0805</t>
  </si>
  <si>
    <t>Чип резистор 1,0 МОм - 0,125 Вт - 5 % - 0805</t>
  </si>
  <si>
    <t>Чип резистор 100 кОм - 0,125 Вт - 1% - 0805</t>
  </si>
  <si>
    <t>Чип резистор 2,7 кОм - 0,125 Вт - 5% - 0805</t>
  </si>
  <si>
    <t>Чип резистор 3,3 кОм - 0,125 Вт - 1% - 0805</t>
  </si>
  <si>
    <t>Чип резистор 51 Ом - 0,125 Вт - 5% - 0805</t>
  </si>
  <si>
    <t>Чип резистор 270 Ом - 0,25 Вт - 5% - 1206</t>
  </si>
  <si>
    <t>Диод SM24-02HTG, SOT-23</t>
  </si>
  <si>
    <t>Мост диодный DB207, DB-S</t>
  </si>
  <si>
    <t>Диод SM712.TCT, SOT-23</t>
  </si>
  <si>
    <t>RC0805FR-07536RL</t>
  </si>
  <si>
    <t>RL2512FK-070R1L</t>
  </si>
  <si>
    <t>RC0805JR-07120RL</t>
  </si>
  <si>
    <t>RC0805JR-07560RL</t>
  </si>
  <si>
    <t>RC0805JR-072K2L</t>
  </si>
  <si>
    <t>RC0805JR-071ML</t>
  </si>
  <si>
    <t>RC0805JR-072K7L</t>
  </si>
  <si>
    <t>RC0805FR-073K3L</t>
  </si>
  <si>
    <t>RC0805JR-0751RL</t>
  </si>
  <si>
    <t>RC1206JR-07270RL</t>
  </si>
  <si>
    <t>SM24-02HTG, SOT-23</t>
  </si>
  <si>
    <t>DB207, DB-S</t>
  </si>
  <si>
    <t>SM712.TCT, SOT-23</t>
  </si>
  <si>
    <t>Транзистор BCR533, SOT-23</t>
  </si>
  <si>
    <t>Транзистор TIP142, TO-247</t>
  </si>
  <si>
    <t>Транзистор STD65N55F3, D-PAK</t>
  </si>
  <si>
    <t>Вилка на плату 5EHDV-02P</t>
  </si>
  <si>
    <t>Вилка на плату PLL1.27-5S</t>
  </si>
  <si>
    <t>Клемма винтовая на плату K13, M4 - DEGSON</t>
  </si>
  <si>
    <t>Симистор BTA12-600SWRG, TO-220-3</t>
  </si>
  <si>
    <t>BTA12-600SWRG, TO-220-3</t>
  </si>
  <si>
    <t>BCR533, SOT-23</t>
  </si>
  <si>
    <t>TIP142, TO-247</t>
  </si>
  <si>
    <t>STD65N55F3</t>
  </si>
  <si>
    <t>5EHDV-02P</t>
  </si>
  <si>
    <t>PLL1.27-5S</t>
  </si>
  <si>
    <t>K13-M4 screw</t>
  </si>
  <si>
    <t>Плата энкодера оптического (Печатный узел)</t>
  </si>
  <si>
    <t>NTCALUG91A103G301</t>
  </si>
  <si>
    <t>Плата энкодера оптического ПП</t>
  </si>
  <si>
    <t>Оптопара щелевая TCST1202</t>
  </si>
  <si>
    <t>Чип резистор 1 кОм - 0,75 Вт - 5% - 2010</t>
  </si>
  <si>
    <t>Чип резистор 5,1 кОм - 0,125 Вт - 5% - 0805</t>
  </si>
  <si>
    <t>Чип резистор 7,68 кОм - 0,125 Вт - 1% - 0805</t>
  </si>
  <si>
    <t>Чип резистор 5,1 кОм - 0,125 Вт - 1% - 0805</t>
  </si>
  <si>
    <t>Чип резистор 22 кОм - 0,125 Вт - 5% - 0805</t>
  </si>
  <si>
    <t>TCST1202</t>
  </si>
  <si>
    <t>RC2010JK-071KL</t>
  </si>
  <si>
    <t>RC0805JR-075K1L</t>
  </si>
  <si>
    <t>RC0805FR-077K68L</t>
  </si>
  <si>
    <t>RC0805JR-0722KL</t>
  </si>
  <si>
    <t>замена старой OPA244NA, SOT-23-5</t>
  </si>
  <si>
    <t>TLV172IDBV, SOT-23-5</t>
  </si>
  <si>
    <t>Флешкарта microSD</t>
  </si>
  <si>
    <t>https://www.citilink.ru/catalog/computers_and_notebooks/media/flashcards/1007548/</t>
  </si>
  <si>
    <t>SDSQUNS-016G-GN3MA</t>
  </si>
  <si>
    <t>LA31030200А000В4-2220003730BС000</t>
  </si>
  <si>
    <t>Актуатор LA31 - 6000 N - 24 V - 4,3A (ход-200мм)</t>
  </si>
  <si>
    <t>Актуатор LA31 - 6000 N - 24 V - 4,3A (ход 250мм)</t>
  </si>
  <si>
    <t>LA310302500000В4-2220004230СS000</t>
  </si>
  <si>
    <t>CMS0321KLX</t>
  </si>
  <si>
    <t>https://www.elitan.ru/price/index.php?find=CMS0321KLX&amp;delay=-1&amp;mfg=all&amp;seenform=y</t>
  </si>
  <si>
    <t>BTS1M-TDTD</t>
  </si>
  <si>
    <t xml:space="preserve">Тип TDTD (т.к. Необходим выбор датчика NPN типа Dark ON (открытый коллектор)
Возможные ситуации при этом:
- 1 Обрыв питания датчика 24В - закрывается выходной транзистор, плата подтягивает выход к питанию, выводит сообщение о заступе.
- 2 КЗ питания датчика на землю - срабатывание преда на плате, далее как 1.
- 3 Обрыв выхода датчика - плата подтягивает выход к питанию, выводит сообщение о заступе.
- 4 КЗ выхода датчика на землю - не возможно отследить, будет считаться нормальным режимом без заступа.
- 5 Обрыв земли датчика - закрывается выходной транзистор, плата подтягивает выход к питанию, выводит сообщение о заступе.
Возможные ситуации при выборе датчика Light ON:
- 1 Обрыв питания датчика 24В - не возможно отследить, будет считаться нормальным режимом без заступа.
- 2 КЗ питания датчика на землю - не возможно отследить, будет считаться нормальным режимом без заступа.
- 3 Обрыв выхода датчика - не возможно отследить, будет считаться нормальным режимом без заступа.
- 4 КЗ выхода датчика на землю - выводит сообщение о заступе.
- 5 Обрыв земли датчика - не возможно отследить, будет считаться нормальным режимом без заступа. </t>
  </si>
  <si>
    <t>MOLEX</t>
  </si>
  <si>
    <t>Розетка кабельная Mini-SPOX 5 Circuits</t>
  </si>
  <si>
    <t>Розетка кабельная Mini-SPOX 2 Circuits</t>
  </si>
  <si>
    <t>Розетка кабельная Mini-SPOX 10 Circuits</t>
  </si>
  <si>
    <t>https://www.molex.com/molex/products/part-detail/crimp_housings/0050375103</t>
  </si>
  <si>
    <t>https://www.molex.com/molex/products/part-detail/crimp_housings/0050375023</t>
  </si>
  <si>
    <t>Розетка кабельная Mini-SPOX 3 Circuits</t>
  </si>
  <si>
    <t>https://www.molex.com/molex/products/part-detail/crimp_housings/0050375033</t>
  </si>
  <si>
    <t>https://www.molex.com/molex/products/part-detail/crimp_housings/0050375053</t>
  </si>
  <si>
    <t>Разъем на плату Mini-SPOX PCB Header 10 Circuits</t>
  </si>
  <si>
    <t>Разъем на плату Mini-SPOX PCB Header 3 Circuits</t>
  </si>
  <si>
    <t>Разъем на плату Mini-SPOX PCB Header 2 Circuits</t>
  </si>
  <si>
    <t>Разъем на плату Mini-SPOX PCB Header 5 Circuits</t>
  </si>
  <si>
    <t>Разъем на плату Mini-SPOX PCB Header 4 Circuits</t>
  </si>
  <si>
    <t>https://www.molex.com/molex/products/part-detail/pcb_headers/0022035055</t>
  </si>
  <si>
    <t>https://www.molex.com/molex/products/part-detail/pcb_headers/0022035045</t>
  </si>
  <si>
    <t>https://www.molex.com/molex/products/part-detail/pcb_headers/0022035025</t>
  </si>
  <si>
    <t>https://www.molex.com/molex/products/part-detail/pcb_headers/0022035035</t>
  </si>
  <si>
    <t>https://www.molex.com/molex/products/part-detail/pcb_headers/0022035105</t>
  </si>
  <si>
    <t>Разъемы для периферии. Информационная наклейка.</t>
  </si>
  <si>
    <t>Фиксированный большой поручень правый с кронштейном. Принадлежность.</t>
  </si>
  <si>
    <t>Кабель питания системы разгрузки. Информационная наклейка.</t>
  </si>
  <si>
    <t xml:space="preserve">LAPP KABEL X05VV-F 5G0.5 </t>
  </si>
  <si>
    <t>Кабель универсальный 2м</t>
  </si>
  <si>
    <t>https://www.etm.ru/cat/nn/607080/</t>
  </si>
  <si>
    <t>Кабель ХМИ</t>
  </si>
  <si>
    <t>Кабель встроенного пульта управления. Информационная наклейка.</t>
  </si>
  <si>
    <t>Кабель питания трансформатора. Информационная наклейка.</t>
  </si>
  <si>
    <t>Феритовый фильтр на шлейф LVDS</t>
  </si>
  <si>
    <t>Либо XP Power ECM100US24 в случае невозможности заказа</t>
  </si>
  <si>
    <t>MB0603006-P3</t>
  </si>
  <si>
    <t>MB0603008-P3</t>
  </si>
  <si>
    <t>MB0603010-P3</t>
  </si>
  <si>
    <t>MB1000003-P3</t>
  </si>
  <si>
    <t/>
  </si>
  <si>
    <t>Mb0700003-P3</t>
  </si>
  <si>
    <t>PCHSN-5</t>
  </si>
  <si>
    <t>PCHSN-10</t>
  </si>
  <si>
    <t>2А1813</t>
  </si>
  <si>
    <t>Стойка М3х5 PCHSN-5</t>
  </si>
  <si>
    <t>Термопаста КПТ-8</t>
  </si>
  <si>
    <t>ГОСТ 19783-74 или аналог.</t>
  </si>
  <si>
    <t>Лента монтажная, поролон LU 15х5мм или Лента вентиляционная ERA поролон LU</t>
  </si>
  <si>
    <t>https://www.obi.ru/ventilyacionnye-kanaly-i-fitingi/lenta-ventilyacionnaya-era-porolon-lu/p/4207460</t>
  </si>
  <si>
    <t>https://nn.vseinstrumenti.ru/krepezh/montazhnye-lenty/kleikaya-lenta/dvuhstoronnyaya/3m-/bezosnovnaya-lenta-atg-904-prozrachnaya-3m-12-mm-x-33-m-7000042431/</t>
  </si>
  <si>
    <t>Клеепереносящая лента 9472-10-55; 3М ATG 987; 3М ATG 904</t>
  </si>
  <si>
    <t>Чип резистор 0.15Ом, 3W</t>
  </si>
  <si>
    <t>не заказывать</t>
  </si>
  <si>
    <t>https://www.etm.ru/cat/nn/1338839/</t>
  </si>
  <si>
    <t>Дистанционная защелка FIX-MAD-2.2</t>
  </si>
  <si>
    <t>FIX-MAD-2.2</t>
  </si>
  <si>
    <t>https://www.tme.eu/ru/details/fix-mad-2.2/diubeli-plastmassovye/fix-fasten/</t>
  </si>
  <si>
    <t>https://nn.terraelectronica.ru/product/3495359</t>
  </si>
  <si>
    <t>Рамка натяжителя</t>
  </si>
  <si>
    <t>Болт М10х60 Din 931</t>
  </si>
  <si>
    <t>Подшипник 62200-2RS</t>
  </si>
  <si>
    <t>http://www.alfa-elektronik.com/php/wurth/emc/cable_fer/flat.php</t>
  </si>
  <si>
    <t>Wurth Elektronik</t>
  </si>
  <si>
    <t>Wire-to-Board Connector Contacts</t>
  </si>
  <si>
    <t xml:space="preserve">1-104480-6 (TYCO) </t>
  </si>
  <si>
    <t>https://www.elitan.ru/price/item298913</t>
  </si>
  <si>
    <t>104257-1  (TYCO)</t>
  </si>
  <si>
    <t>104257-2  (TYCO)</t>
  </si>
  <si>
    <t>104257-4  (TYCO)</t>
  </si>
  <si>
    <t>https://www.elitan.ru/price/item306193</t>
  </si>
  <si>
    <t>https://www.elitan.ru/price/item306194</t>
  </si>
  <si>
    <t>https://www.elitan.ru/price/item471151</t>
  </si>
  <si>
    <t>Разъем кабельный 2pin</t>
  </si>
  <si>
    <t>Разъем кабельный 3pin</t>
  </si>
  <si>
    <t>Разъем кабельный 5pin</t>
  </si>
  <si>
    <t>Cердечник ферритовый кольцевой МП-140, 44х28х10.3</t>
  </si>
  <si>
    <t xml:space="preserve">RZM031RB </t>
  </si>
  <si>
    <t>Schneider Electric</t>
  </si>
  <si>
    <t>Диод + зеленый светодиод для защиты катушек реле = 6/24В</t>
  </si>
  <si>
    <t>https://www.tme.eu/ru/details/rzm031rb/rele-elektromagn-aksessuary/schneider-electric/</t>
  </si>
  <si>
    <t>Опора верёвочная</t>
  </si>
  <si>
    <t>Дополнительная перемычка</t>
  </si>
  <si>
    <t>Стенка</t>
  </si>
  <si>
    <t>Микросхема TLV172IDBVR (TLV172IDBVT), SOT-23-5</t>
  </si>
  <si>
    <t>Радиатор</t>
  </si>
  <si>
    <t>Замена коробу RL75 15x18 серый QUADRO</t>
  </si>
  <si>
    <t>Короб перфорированный 25х30 RL75 2 серый QUADRO</t>
  </si>
  <si>
    <t>Модификация наконечников аккумулятора HMI</t>
  </si>
  <si>
    <t>Печатная плата HMI (Печатный узел)</t>
  </si>
  <si>
    <t>Кабель питания к плате HMI-панели</t>
  </si>
  <si>
    <t>Печатная плата Рамка TouchScreen</t>
  </si>
  <si>
    <t>Динамик HMI</t>
  </si>
  <si>
    <t>Ед.</t>
  </si>
  <si>
    <t>м</t>
  </si>
  <si>
    <t>шт</t>
  </si>
  <si>
    <t>Матрица</t>
  </si>
  <si>
    <t>Винт самонарезающий с потайной головкой для термопластов 3x10 A2 9090</t>
  </si>
  <si>
    <t>Саморез для пластика, полукруглая головка 3x10 A2 9091</t>
  </si>
  <si>
    <t>Шайба 3.2 Din 125 - Zn</t>
  </si>
  <si>
    <t>Шайба 3 Din 127 - Zn</t>
  </si>
  <si>
    <t>Гайка M3 Din 934 - Zn</t>
  </si>
  <si>
    <t>Заклепка с потайной головкой 5x16 Din 661</t>
  </si>
  <si>
    <t>ТО3</t>
  </si>
  <si>
    <t>Изоляционная втулка ТО3</t>
  </si>
  <si>
    <t>Прокладка теплопроводящая ТО-220 0,2мм</t>
  </si>
  <si>
    <t>Стойка М3х10 PCHSN-10</t>
  </si>
  <si>
    <t>Кабель КГтп-ХЛ 3х1.5</t>
  </si>
  <si>
    <t>Кабель сетевой VCOM CE021-CU1.5-1.8</t>
  </si>
  <si>
    <t>VCOM CE021-CU1.5-1.8</t>
  </si>
  <si>
    <t>https://www.nix.ru/autocatalog/cables/VCOM-CE021-CU15-18m-Kabel-kompyuter-rozetka-220V-Evropejskij-standart_351301.html#pid=3461</t>
  </si>
  <si>
    <t>Опора правая</t>
  </si>
  <si>
    <t>Система нагрузочного тестирования для спортивной медицины с тредмилом и системой страховки от падения</t>
  </si>
  <si>
    <t>Комплекс, полотно 150х59х19</t>
  </si>
  <si>
    <t>Комплекс, полотно 150х120х19</t>
  </si>
  <si>
    <t>Комплекс, полотно 175х65х19</t>
  </si>
  <si>
    <t>Комплекс, полотно 175х74х19</t>
  </si>
  <si>
    <t>Комплекс, полотно 190х74х19</t>
  </si>
  <si>
    <t>Лазерный указатель</t>
  </si>
  <si>
    <t>RS16-126B</t>
  </si>
  <si>
    <t>Розетка стационарная с заземле-нием для наружного монтажа со шторками IP44 Schneider Electric</t>
  </si>
  <si>
    <t>Розетка стационарная с заземле-нием для скрытой проводки со шторками IP44 Schneider Electric</t>
  </si>
  <si>
    <t>PA16-044B</t>
  </si>
  <si>
    <t>Встроенный пульт управления (Графическая панель HMI)</t>
  </si>
  <si>
    <t>Беспроводное устройство управления</t>
  </si>
  <si>
    <t>Шасси платы управления</t>
  </si>
  <si>
    <t>Кабель соединительный клеммы проходные-Блок питания 220В-24В-4,2 А ECS100US24-B XPPower</t>
  </si>
  <si>
    <t>Кабель соединительный аккумуляторные батареи - самовосст. Предохранитель</t>
  </si>
  <si>
    <t>Кабель соединительный плата системы разгрузки(Х3) - led индикатор</t>
  </si>
  <si>
    <t>Кабель соединительный плата системы разгрузки (Х2) - розетка блочная (Х7)</t>
  </si>
  <si>
    <t>Провод заземления блок питания (Х3) - клемма проходная</t>
  </si>
  <si>
    <t>Провод заземления система управления (х29) - клемма проходная</t>
  </si>
  <si>
    <t>Провод заземления болт заземления - клемма проходная</t>
  </si>
  <si>
    <t xml:space="preserve">Модификация наконечников актуатора LA31-6000N24V-4.3A-LINAK </t>
  </si>
  <si>
    <t>Кабель соединительный плата системы разгрузки (Х6 ) - аккумуляторные батареи</t>
  </si>
  <si>
    <t>Розетка на кабель PHU-3 (DS1072-3 F)</t>
  </si>
  <si>
    <t>PHU-3 (DS1072-3 F)</t>
  </si>
  <si>
    <t>ТУТнг-8/4 (КВТ) Черный</t>
  </si>
  <si>
    <t>Розетка на кабель 2EDGK-5.0-02P-14-00A(H)</t>
  </si>
  <si>
    <t>Розетка на кабель PHU-4 (DS1072-4 F)</t>
  </si>
  <si>
    <t>PHU-4 (DS1072-4 F)</t>
  </si>
  <si>
    <t>ТУТнг-6/3 (КВТ) Черный</t>
  </si>
  <si>
    <t>Самовосст. Предохранитель 60R300XF 60DВ  3А</t>
  </si>
  <si>
    <t>Клемма ножевая РПИ-М 1.5-(4.8) (КВТ)</t>
  </si>
  <si>
    <t>РПИ-М 1.5-(4.8) (КВТ)</t>
  </si>
  <si>
    <t>Наконечник кабельный НШВИ 1-8 (КВТ)</t>
  </si>
  <si>
    <t>Провод ПВ-3 1 мм2 Красный</t>
  </si>
  <si>
    <t>Провод ПВ-3 1 мм2 Синий</t>
  </si>
  <si>
    <t>ТУТнг-3/1.5 (КВТ) Черный</t>
  </si>
  <si>
    <t xml:space="preserve">Розетка блочная FQ18-4ZK-S, 4p, 400В, 10А </t>
  </si>
  <si>
    <t>ТУТнг-10/5 (КВТ) Черный</t>
  </si>
  <si>
    <t>НШВИ 1-8 (КВТ)</t>
  </si>
  <si>
    <t>Mini-SPOX Female Crimp Terminal, 22-28 AWG, Reel</t>
  </si>
  <si>
    <t>https://www.molex.com/molex/search/partSearch?pQuery=&amp;sType=s&amp;query=5263</t>
  </si>
  <si>
    <t>08701039</t>
  </si>
  <si>
    <t>Датчик оптический (приемник) BTS1M-TDTD (in)</t>
  </si>
  <si>
    <t>Датчик оптический (передатчик) BTS1M-TDTD (in) (Входит в комплект приемника)</t>
  </si>
  <si>
    <t>Клемма кабельная НКИ 2.5-5 (КВТ)</t>
  </si>
  <si>
    <t>Клемма кабельная НКИ 6.0-6 (КВТ)</t>
  </si>
  <si>
    <t>PD200B-220 230В - 70Вт - 200х200, Salzer</t>
  </si>
  <si>
    <t>Хомут для кабеля под винт 4,6мм D=9.5мм</t>
  </si>
  <si>
    <t>Хомут для кабеля под винт 4,6мм D=6.35мм</t>
  </si>
  <si>
    <t>KLS8-0402-UC-2</t>
  </si>
  <si>
    <t>KLS8-0402-UC-1</t>
  </si>
  <si>
    <t>Винт М2х12 Din 7985 - Zn</t>
  </si>
  <si>
    <t>Шайба 4.3 Din 125 - Zn</t>
  </si>
  <si>
    <t>Шайба 4 Din 127 - Zn</t>
  </si>
  <si>
    <t>В комплекте с датчиками, не заказывать</t>
  </si>
  <si>
    <t>Труба автомобильная гофрированая 4,6мм Полипропилен разрезная</t>
  </si>
  <si>
    <t>REXANT</t>
  </si>
  <si>
    <t>Труба автомобильная гофрированая 6,8мм Полипропилен разрезная</t>
  </si>
  <si>
    <t>Изолента 0,13х15мм черная Valsten V02-7B-13x15-10</t>
  </si>
  <si>
    <t>101 а не 102 потому что нельзя поправить в ТУ</t>
  </si>
  <si>
    <t>Виброопора</t>
  </si>
  <si>
    <t>Разъемы панели управления. Информационная наклейка.</t>
  </si>
  <si>
    <t>Шайба 5.3 Din 125 - Zn</t>
  </si>
  <si>
    <t>Шайба 6.4 Din 125 - Zn</t>
  </si>
  <si>
    <t>Шайба 6 Din 125 - CuZn</t>
  </si>
  <si>
    <t>Шайба 10.5 Din 125 - Zn</t>
  </si>
  <si>
    <t>Шайба 2 Din 127 - Zn</t>
  </si>
  <si>
    <t>Шайба 5 Din 127 - Zn</t>
  </si>
  <si>
    <t>Шайба 6 Din 127 - Zn</t>
  </si>
  <si>
    <t>Шайба 6 Din 127 - CuZn</t>
  </si>
  <si>
    <t>Шайба 8 Din 127 - Zn</t>
  </si>
  <si>
    <t>Шайба 10 Din 127 - Zn</t>
  </si>
  <si>
    <t>Гайка M6 Din 934 - CuZn</t>
  </si>
  <si>
    <t>Аккумуляторная батарея Delta DTM 12032 (12V / 3.2Ah)</t>
  </si>
  <si>
    <t>Крепление ПМО 15х10</t>
  </si>
  <si>
    <t>Техпластина ТМКЩ 1,0 мм 30х18 мм</t>
  </si>
  <si>
    <t>Техпластина ТМКЩ 1,0 мм 139х139 мм</t>
  </si>
  <si>
    <t>Техпластина ТМКЩ 1,0 мм 165х40 мм</t>
  </si>
  <si>
    <t>Стяжка кабельная нейлоновая неоткрываемая 150х4 (белая)</t>
  </si>
  <si>
    <t>Втулка 6-6 ГОСТ 19421-74</t>
  </si>
  <si>
    <t>CP30220M, RS Pro Cat5e, UTP FT Series либо RJ45 RS 907-5652</t>
  </si>
  <si>
    <t>Розетка блочная FQ18-5ZK-S, 5p, 400 В, 10 А</t>
  </si>
  <si>
    <t>Розетка блочная FQ18-12ZK-S, 12p, 400 В, 10 А</t>
  </si>
  <si>
    <t>Розетка блочная FQ18-3ZK-S, 3p, 400 В, 10 А</t>
  </si>
  <si>
    <t>Розетка блочная FQ18-4ZK-S, 4p, 400 В, 10 А</t>
  </si>
  <si>
    <t>Стойки</t>
  </si>
  <si>
    <t>Вместо B57703M0103G040</t>
  </si>
  <si>
    <t>кг</t>
  </si>
  <si>
    <t>20 - уровень вложения</t>
  </si>
  <si>
    <t>Болт М8х80 Din 931</t>
  </si>
  <si>
    <t>Винт М8х20 Din 912</t>
  </si>
  <si>
    <t>Винт М12х80 Din 912</t>
  </si>
  <si>
    <t>Винт М12х110 Din 912</t>
  </si>
  <si>
    <t>Винт М6х30 Din 965</t>
  </si>
  <si>
    <t>Винт М6х40 Din 966</t>
  </si>
  <si>
    <t>Винт М6х35 Din 967</t>
  </si>
  <si>
    <t>Винт М4х8 Din 967</t>
  </si>
  <si>
    <t>Гайка М12 Din 985</t>
  </si>
  <si>
    <t>Гайка М6 Din 985</t>
  </si>
  <si>
    <t>Гайка М16 Din 985</t>
  </si>
  <si>
    <t>Шайба М6 Din 127</t>
  </si>
  <si>
    <t>Шайба М6 Din 125</t>
  </si>
  <si>
    <t>Шайба М8 Din 125</t>
  </si>
  <si>
    <t>Шайба М10 Din 7349</t>
  </si>
  <si>
    <t>Шайба М12 Din 125</t>
  </si>
  <si>
    <t>Шплинт 2,9х32 Din 94</t>
  </si>
  <si>
    <t>Провод соединительный реле с колодкой 24V DC (14) - клемма проходная</t>
  </si>
  <si>
    <t>Провод соединительный реле с колодкой 24V DC (11) - контактор модульный(А2)</t>
  </si>
  <si>
    <t>Кабель соединительный контактор модульный (1,3,А1)- Клеммы переходные</t>
  </si>
  <si>
    <t>ММЦМ.941146.001 Компоненты Проекта Беговые Дорожки</t>
  </si>
  <si>
    <t>ММЦМ.941146.901 Беговая дорожка серии "РеаТерра" мод. 0.1-12 км/ч, Без СР, комплекс</t>
  </si>
  <si>
    <t>ММЦМ.424319.001 БД-01.01.01.000 База беговой дорожки</t>
  </si>
  <si>
    <t>БД-01.01.01.100 Каркас</t>
  </si>
  <si>
    <t>БД-01.01.01.200 Вал ведущий</t>
  </si>
  <si>
    <t>БД-01.01.01.210 Вал ведущий</t>
  </si>
  <si>
    <t>БД-01.01.01.211 Вал ведущий</t>
  </si>
  <si>
    <t>БД-01.01.01.212 Втулка</t>
  </si>
  <si>
    <t>БД-01.01.01.201 Шкив</t>
  </si>
  <si>
    <t>БД-01.01.01.202-01 Ось вала</t>
  </si>
  <si>
    <t>БД-01.01.01.300 Вал ведомый</t>
  </si>
  <si>
    <t>БД-01.01.01.301 Вал ведомый</t>
  </si>
  <si>
    <t>БД-01.01.01.202 Ось вала</t>
  </si>
  <si>
    <t>БД-01.01.01.400 Ножка</t>
  </si>
  <si>
    <t>БД-01.01.01.410 Опора</t>
  </si>
  <si>
    <t>БД-01.01.01.411 Опора</t>
  </si>
  <si>
    <t>БД-01.01.01.412 Шпилька</t>
  </si>
  <si>
    <t>БД-01.01.01.401 Опора резиновая</t>
  </si>
  <si>
    <t>БД-01.01.01.500 Рамка подъемника</t>
  </si>
  <si>
    <t>БД-01.01.01.501 Труба</t>
  </si>
  <si>
    <t>БД-01.01.01.502 Втулка</t>
  </si>
  <si>
    <t>БД-01.01.01.509 Перемычка</t>
  </si>
  <si>
    <t>БД-01.01.01.511 Труба</t>
  </si>
  <si>
    <t>БД-01.01.01.503 Кронштейн</t>
  </si>
  <si>
    <t>БД-01.01.01.504 Косынка</t>
  </si>
  <si>
    <t>БД-01.01.01.505 Косынка</t>
  </si>
  <si>
    <t>БД-01.01.01.506 Косынка</t>
  </si>
  <si>
    <t>БД-01.01.01.507 Ухо</t>
  </si>
  <si>
    <t>БД-01.01.01.508 Ухо</t>
  </si>
  <si>
    <t>БД-01.01.03.100 Каркас</t>
  </si>
  <si>
    <t>БД-01.01.01.001 Ось</t>
  </si>
  <si>
    <t>БД-01.01.01.002 Втулка</t>
  </si>
  <si>
    <t>БД-01.01.01.003 Ось</t>
  </si>
  <si>
    <t>БД-01.01.01.004 Труба</t>
  </si>
  <si>
    <t>БД-01.01.01.005 Труба</t>
  </si>
  <si>
    <t>БД-01.01.01.006 Дека</t>
  </si>
  <si>
    <t>БД-01.01.01.007 Шайба</t>
  </si>
  <si>
    <t>БД-01.01.01.008 Шайба</t>
  </si>
  <si>
    <t>БД-01.01.01.009 Беговое полотно</t>
  </si>
  <si>
    <t>БД-01.01.01.012 Буфер</t>
  </si>
  <si>
    <t>БД-01.01.01.013 Буфер</t>
  </si>
  <si>
    <t>БД-01.01.01.014 Фанера</t>
  </si>
  <si>
    <t>БД-01.01.03.002 Шайба</t>
  </si>
  <si>
    <t>БД-01.01.03.003 Втулка</t>
  </si>
  <si>
    <t>БД-01.01.03.001 Крышка</t>
  </si>
  <si>
    <t>HTD 925-8M-20 CXP Ремень зубчатый</t>
  </si>
  <si>
    <t>БД-01.01.00.100 Натяжитель Ремня</t>
  </si>
  <si>
    <t>БД-01.01.00.110 Рамка натяжителя</t>
  </si>
  <si>
    <t>БД-01.01.10.100 Опора правая</t>
  </si>
  <si>
    <t>ММЦМ.435221.004 Шасси входной автоматики</t>
  </si>
  <si>
    <t>ММЦМ.685611.046 Провод соединительный реле с колодкой 24V DC (14) - клемма проходная</t>
  </si>
  <si>
    <t>ММЦМ.685611.047 Провод соединительный реле с колодкой 24V DC (11) - контактор модульный(А2)</t>
  </si>
  <si>
    <t>БД-01.01.08.001 Основание</t>
  </si>
  <si>
    <t>БД-01.01.00.002 Втулка</t>
  </si>
  <si>
    <t>A9C20842 Контактор модульный Acti9 iCT 2P 40А 230В 2НО</t>
  </si>
  <si>
    <t>RZM031RB  Диод + зеленый светодиод для защиты катушек реле = 6/24В</t>
  </si>
  <si>
    <t>ММЦМ.525411.001 Шасси асинхронного двигателя</t>
  </si>
  <si>
    <t>ММЦМ.685631.129 Кабель соединительный термистор NTC - система управления БД</t>
  </si>
  <si>
    <t>50375023 Розетка кабельная Mini-SPOX 2 Circuits</t>
  </si>
  <si>
    <t>08701039 Mini-SPOX Female Crimp Terminal, 22-28 AWG, Reel</t>
  </si>
  <si>
    <t>NTCALUG91A103G301 NTC термистор 10k</t>
  </si>
  <si>
    <t>ММЦМ.723356.001 Оптический диск</t>
  </si>
  <si>
    <t>БД-01.01.05.001 Шкив привода беговой дорожки ведущий</t>
  </si>
  <si>
    <t>БД-01.01.05.003 Прижимная втулка</t>
  </si>
  <si>
    <t>БД-01.01.05.005 Втулка</t>
  </si>
  <si>
    <t>БД-01.01.05.006 Шайба</t>
  </si>
  <si>
    <t>ММЦМ.525411.002 Двигатель асинхронный АИР90L4 У2 2,2 кВт, 1420 об/мин, б/вентилятора</t>
  </si>
  <si>
    <t>БД-01.01.00.007 Втулка</t>
  </si>
  <si>
    <t>ММЦМ.435221.002 Шасси инвертора</t>
  </si>
  <si>
    <t>БД-01.01.03.008 Пластина</t>
  </si>
  <si>
    <t>БД-01.01.03.009 Кронштейн</t>
  </si>
  <si>
    <t>БД-01.01.03.101 Основание</t>
  </si>
  <si>
    <t>БД-01.01.03.102 Стенка задняя</t>
  </si>
  <si>
    <t>БД-01.01.03.103 Боковая стенка</t>
  </si>
  <si>
    <t>БД-01.01.03.104 Боковая стенка</t>
  </si>
  <si>
    <t>VFD022E21A Преобразователь частоты VFD022E21A Delta, 2,2 кВт, 1ф</t>
  </si>
  <si>
    <t>B84113H0000G125 Фильтр ЭМП EPCOS B84113H0000G125, 250 В / 25 А</t>
  </si>
  <si>
    <t>EME-PG01 Плата энкодера Delta Electronics EME-PG01</t>
  </si>
  <si>
    <t>ММЦМ.435221.003 Шасси платы управления</t>
  </si>
  <si>
    <t>БД-01.01.02.001 Основание</t>
  </si>
  <si>
    <t>БД-01.01.00.018 Скоба</t>
  </si>
  <si>
    <t>ММЦМ.468367.501-03 Плата системы управления (Печатный узел)</t>
  </si>
  <si>
    <t>ММЦМ.687253.020-2.12 ПО Система управления БД, ПО STM32</t>
  </si>
  <si>
    <t>ММЦМ.687253.020 Плата системы управления</t>
  </si>
  <si>
    <t>GRM15XR71H221KA86D Керам. ЧИП конд. 220 пФ - 50 В - X7R - 10 % - 0805</t>
  </si>
  <si>
    <t>CC0805KRX7R9BB223 Керам. ЧИП конд. 0,022 мкФ - 50 В - X7R - 10 % - 0805</t>
  </si>
  <si>
    <t>DE1E3KX222MA5BA01 Конденсатор класс X1, Y1 2200 пФ - 250 В - 4000 В</t>
  </si>
  <si>
    <t>GRM21BR71H104KA01L Керам. ЧИП конд. 0,1 мкФ - 50 В - X7R - 10 % - 0805</t>
  </si>
  <si>
    <t>TR3A106K016C1700 Тант. ЧИП конденсатор 10мкФ - 16 В - тип A</t>
  </si>
  <si>
    <t>TR3A105K020C3000 Тант. ЧИП конденсатор 1мкФ - 20 В - тип A</t>
  </si>
  <si>
    <t>К73-17 1000 пФ - 400 В Конденсатор К73-17 1000 пФ - 400 В</t>
  </si>
  <si>
    <t>К73-17 0,01 мкФ - 400 В Конденсатор К73-17 0,01 мкФ - 400 В</t>
  </si>
  <si>
    <t>GRM21BR61E475KA12L Керам. ЧИП конд. 4,7 мкФ - 25 В - X5R - 10 % - 0805</t>
  </si>
  <si>
    <t>GRM219R71H334KA88D Керам. ЧИП конд. 0,33 мкФ - 50 В - X7R - 10 % - 0805</t>
  </si>
  <si>
    <t>TR3C226K025C0400 Тант. ЧИП конденсатор 22 мкФ - 25 В - тип С</t>
  </si>
  <si>
    <t>GRM2165C1H220JZ01D Керам. ЧИП конд. 22 пФ - 50 В - C0G - 5 % - 0805</t>
  </si>
  <si>
    <t>GRM219R61E225KA12D Керам. ЧИП конд. 2,2 мкФ - 25 В - X5R - 10 % - 0805</t>
  </si>
  <si>
    <t>GRM2165C2A102JA01D Керам. ЧИП конд. 1000 пФ - 100 В - C0G - 5 % - 0805</t>
  </si>
  <si>
    <t>B32529D0225K289 Конденсатор MKT 2,2 мкФ - 40VAC - 63VDC</t>
  </si>
  <si>
    <t>CL31B475KBHNNNE Керам. ЧИП конд. 4,7 мкФ - 50 В - X7R - 10 % - 1206</t>
  </si>
  <si>
    <t>SH035M1000A5S-1320 Конденсатор SH 1000 мкФ - 35 В (13х20)</t>
  </si>
  <si>
    <t>SH016M0010B2F-0511 Конденсатор SH 10 мкФ - 16 В (5х11)</t>
  </si>
  <si>
    <t>CC0805KRX7R0BB103 Керам. ЧИП конд. 0,01 мкФ - 100 В - X7R - 10 % - 0805</t>
  </si>
  <si>
    <t>CA050M0100REF-0810 Конденсатор CA 100 мкФ - 50 В (8х10)</t>
  </si>
  <si>
    <t>SH035M0330A5S-1015 Конденсатор SH 330 мкФ - 35 В (10х15)</t>
  </si>
  <si>
    <t>SJ016M0470B3F-0815 Конденсатор SJ 470 мкФ - 16 В (8х15)</t>
  </si>
  <si>
    <t>CB035M0100RSH-0607 Конденсатор CB 100 мкФ - 35 В (6х7)</t>
  </si>
  <si>
    <t>B32922C3474M Конденсатор MKP 0,47 мкФ - 305 В</t>
  </si>
  <si>
    <t>12061Z475MAT2A Керам. ЧИП конд. 4,7 мкФ - 100 В - X7S - 20 % - 1206</t>
  </si>
  <si>
    <t>ILD206T, SOIC-8 Оптопара ILD206T, SOIC-8</t>
  </si>
  <si>
    <t>AD8541ART, SOT-23-5 Микросхема AD8541ART, SOT-23-5</t>
  </si>
  <si>
    <t>JCH1024S24 Преобразователь JCH1024S24, 24 В / 24 В, 416 мА</t>
  </si>
  <si>
    <t>PSD1-A-2405E Преобразователь PSD1-A-2405E, SMD(1Wt)</t>
  </si>
  <si>
    <t>JCJ0824S05 Преобразователь JCJ0824S05, 24 В / 5 В, 1,5 А</t>
  </si>
  <si>
    <t>LD1117S33TR, SOT-223 Микросхема LD1117S33TR, SOT-223</t>
  </si>
  <si>
    <t>TL431ACDBVT Микросхема TL431ACDBVT, SOT-23-5</t>
  </si>
  <si>
    <t>MOC3023 Оптосимистор MOC3023, DIP6</t>
  </si>
  <si>
    <t>PC817, DIP-4 Оптопара PC817, DIP-4</t>
  </si>
  <si>
    <t>MAX485ESA, SO-8 Микросхема MAX485ESA, SO-8</t>
  </si>
  <si>
    <t>OPA2244, SOIC8 Микросхема OPA2244, SOIC8</t>
  </si>
  <si>
    <t>LIS3LV02DL, LGA-16 Микросхема LIS3LV02DL, LGA-16</t>
  </si>
  <si>
    <t>VO617A-3X007T, SMD4 Оптопара VO617A-3X007T, SMD4</t>
  </si>
  <si>
    <t>MAX3232EID, SOIC-D Микросхема MAX3232EID, SOIC-D</t>
  </si>
  <si>
    <t>M24C04-WMN6TP, SO-8 Микросхема M24C04-WMN6TP, SO-8</t>
  </si>
  <si>
    <t>STM32F103RСT6, LQFP-64 Микросхема STM32F103RСT6, LQFP-64, 256 KBytes Flash, 48 KBytes SRAM</t>
  </si>
  <si>
    <t>SOLDER_JUMPER Паяемая перемычка</t>
  </si>
  <si>
    <t>IM07GR Реле IM07GR, 24VDC / 2А</t>
  </si>
  <si>
    <t>RT424024 Реле RT424024, 24VDC / 8А</t>
  </si>
  <si>
    <t>BLM21PG221SN1 Дроссель BLM21 - 220 Ом -  2 А - 0805</t>
  </si>
  <si>
    <t>CPFC74NP-CB10M4 Дроссель двухобмоточный 2х1000 Ом - 200 В</t>
  </si>
  <si>
    <t>LQM21FN100N00L Дроссель LQM21 - 10 мкГн -  60 мА - 0805</t>
  </si>
  <si>
    <t>LQM21FN4R7N Дроссель LQM21 - 4,7 мкГн -  80 мА - 0805</t>
  </si>
  <si>
    <t>ACT45L-201-2P-TL000 Дроссель двухобмоточный 200 мкГн - Ethernet</t>
  </si>
  <si>
    <t>DLW21SN900SQ2 Дроссель двухобмоточный 90 Ом - 330 мА</t>
  </si>
  <si>
    <t>SRF0905-251Y Дроссель двухобмоточный 2х250 мкГн - 1,2 А - 80 В</t>
  </si>
  <si>
    <t>DLW5BSN351SQ2L Дроссель двухобмоточный 350 Ом - 2,0 А - 50 В</t>
  </si>
  <si>
    <t>DLW5BSN191SQ2L Дроссель двухобмоточный 190 Ом - 5,0 А - 50 В</t>
  </si>
  <si>
    <t>LQM21FN100M70L Дроссель LQM21 - 10 мкГн -  0,1 А - 0805</t>
  </si>
  <si>
    <t>LQH32CN100K23L Дроссель LQH32 - 10 мкГн -  0,3 А</t>
  </si>
  <si>
    <t>CDRH127-LDNP-101MC Индуктивность 100 мкГн - 2,1 А - 20 % - SMD</t>
  </si>
  <si>
    <t>PLY10AN1521R6R2 Дроссель PLY10AN1521R6R2</t>
  </si>
  <si>
    <t>KX-9A Кварцевый резонатор KX-9A, 8,000 МГц, SMD</t>
  </si>
  <si>
    <t>RC1206JR-0712K2L Чип резистор 2,2 кОм - 0,25 Вт - 5% - 1206</t>
  </si>
  <si>
    <t>RC1206JR-071K2L Чип резистор 1,2 кОм - 0,25 Вт - 5% - 1206</t>
  </si>
  <si>
    <t>RC1206JR-074K7L Чип резистор 4,7 кОм - 0,25 Вт - 5% - 1206</t>
  </si>
  <si>
    <t>RC0805JR-07680RL Чип резистор 680 Ом - 0,125 Вт - 5% - 0805</t>
  </si>
  <si>
    <t>RC0805JR-07180RL Чип резистор 180 Ом - 0,125 Вт - 5% - 0805</t>
  </si>
  <si>
    <t>RC0805FR-07300RL Чип резистор 300 Ом - 0,125 Вт - 1% - 0805</t>
  </si>
  <si>
    <t>RC0805FR-072K7L Чип резистор 2,7 кОм - 0,125 Вт - 1% - 0805</t>
  </si>
  <si>
    <t>RC0805JR-0710KL Чип резистор 10 кОм - 0,125 Вт - 5% - 0805</t>
  </si>
  <si>
    <t>RC0805FR-0710KL Чип резистор 10,0 кОм - 0,125 Вт - 1% - 0805</t>
  </si>
  <si>
    <t>RC0805JR-07100RL Чип резистор 100 Ом - 0,125 Вт - 5% - 0805</t>
  </si>
  <si>
    <t>RC0805JR-07510RL Чип резистор 510 Ом - 0,125 Вт - 5% - 0805</t>
  </si>
  <si>
    <t>CF-50 (С1-4) 0.5 Вт, 300 Ом Резистор С1-4 - 0,5 Вт - 5% - 300 Ом</t>
  </si>
  <si>
    <t>CF-50 (С1-4) 0.5 Вт, 30 кОм Резистор С1-4 - 0,5 Вт - 5% - 30 кОм</t>
  </si>
  <si>
    <t>CF-50 (С1-4) 0.5 Вт, 39 Ом Резистор С1-4 - 0,5 Вт - 5% - 39 Ом</t>
  </si>
  <si>
    <t>SQP5-100K Резистор проволочный SQP 100 кОм - 5Вт - 5%</t>
  </si>
  <si>
    <t>RC0805JR-074K7L Чип резистор 4,7 кОм - 0,125 Вт - 5 % - 0805</t>
  </si>
  <si>
    <t>RC0805JR-071KL Чип резистор 1,0 кОм - 0,125 Вт - 5 % - 0805</t>
  </si>
  <si>
    <t>RC0805JR-07330RL Чип резистор 330 Ом - 0,125 Вт - 5% - 0805</t>
  </si>
  <si>
    <t>RC0805FR-07324RL Чип резистор 324 Ом - 0,125 Вт - 1% - 0805</t>
  </si>
  <si>
    <t>RC0805JR-07100KL Чип резистор 100 кОм - 0,125 Вт - 5% - 0805</t>
  </si>
  <si>
    <t>RC0805FR-07536RL Чип резистор 536 Ом - 0,125 Вт - 1% - 0805</t>
  </si>
  <si>
    <t>RL2512FK-070R1L Чип резистор 0,1 Ом - 1,0 Вт - 1% - 2512</t>
  </si>
  <si>
    <t>RC0805JR-07120RL Чип резистор 120 Ом - 0,125 Вт - 5% - 0805</t>
  </si>
  <si>
    <t>RC0805JR-07560RL Чип резистор 560 Ом - 0,125 Вт - 5% - 0805</t>
  </si>
  <si>
    <t>RC0805JR-072K2L Чип резистор 2,2 кОм - 0,125 Вт - 5% - 0805</t>
  </si>
  <si>
    <t>RC0805JR-071ML Чип резистор 1,0 МОм - 0,125 Вт - 5 % - 0805</t>
  </si>
  <si>
    <t>RC0805JR-071K2L Чип резистор 1,2 кОм - 0,125 Вт - 5 % - 0805</t>
  </si>
  <si>
    <t>RC0805FR-07100KL Чип резистор 100 кОм - 0,125 Вт - 1% - 0805</t>
  </si>
  <si>
    <t>RC0805JR-072K7L Чип резистор 2,7 кОм - 0,125 Вт - 5% - 0805</t>
  </si>
  <si>
    <t>RC0805FR-073K3L Чип резистор 3,3 кОм - 0,125 Вт - 1% - 0805</t>
  </si>
  <si>
    <t>RC0805JR-0751RL Чип резистор 51 Ом - 0,125 Вт - 5% - 0805</t>
  </si>
  <si>
    <t>RC1206JR-071KL Чип резистор 1 кОм - 0,25 Вт - 5% - 1206</t>
  </si>
  <si>
    <t>RC1206JR-07270RL Чип резистор 270 Ом - 0,25 Вт - 5% - 1206</t>
  </si>
  <si>
    <t>SM24-02HTG, SOT-23 Диод SM24-02HTG, SOT-23</t>
  </si>
  <si>
    <t>DB207, DB-S Мост диодный DB207, DB-S</t>
  </si>
  <si>
    <t>US1M, SMA Диод US1M, SMA</t>
  </si>
  <si>
    <t>SM712.TCT, SOT-23 Диод SM712.TCT, SOT-23</t>
  </si>
  <si>
    <t>BTA12-600SWRG, TO-220-3 Симистор BTA12-600SWRG, TO-220-3</t>
  </si>
  <si>
    <t>BC847С, SOT-23 Транзистор BC847С, SOT-23</t>
  </si>
  <si>
    <t>BCR533, SOT-23 Транзистор BCR533, SOT-23</t>
  </si>
  <si>
    <t>BC857С, SOT-23 Транзистор BC857С, SOT-23</t>
  </si>
  <si>
    <t>TIP142, TO-247 Транзистор TIP142, TO-247</t>
  </si>
  <si>
    <t>STD65N55F3 Транзистор STD65N55F3, D-PAK</t>
  </si>
  <si>
    <t>22035105 Разъем на плату Mini-SPOX PCB Header 10 Circuits</t>
  </si>
  <si>
    <t>22035035 Разъем на плату Mini-SPOX PCB Header 3 Circuits</t>
  </si>
  <si>
    <t>22035025 Разъем на плату Mini-SPOX PCB Header 2 Circuits</t>
  </si>
  <si>
    <t>22035055 Разъем на плату Mini-SPOX PCB Header 5 Circuits</t>
  </si>
  <si>
    <t>15EDGVC-3.81-03P-14-00A(H) Вилка на плату 15EDGVC-3.81-03P-14-00A(H)</t>
  </si>
  <si>
    <t>5EHDV-02P Вилка на плату 5EHDV-02P</t>
  </si>
  <si>
    <t>PLL1.27-5S Вилка на плату PLL1.27-5S</t>
  </si>
  <si>
    <t>K13-M4 screw Клемма винтовая на плату K13, M4 - DEGSON</t>
  </si>
  <si>
    <t>ММЦМ.468157.501 Энкодер оптический</t>
  </si>
  <si>
    <t>БД-01.01.13.001 Основание</t>
  </si>
  <si>
    <t>ММЦМ.468157.001-03 Плата энкодера оптического (Печатный узел)</t>
  </si>
  <si>
    <t>ММЦМ.687252.009-03 Плата энкодера оптического ПП</t>
  </si>
  <si>
    <t>TR3D106K050D0700 Тант. ЧИП конденсатор 10 мкФ - 50 В - тип D</t>
  </si>
  <si>
    <t>TCST1202 Оптопара щелевая TCST1202</t>
  </si>
  <si>
    <t>TLV172IDBV, SOT-23-5 Микросхема TLV172IDBVR (TLV172IDBVT), SOT-23-5</t>
  </si>
  <si>
    <t>RC2010JK-071KL Чип резистор 1 кОм - 0,75 Вт - 5% - 2010</t>
  </si>
  <si>
    <t>RC0805JR-075K1L Чип резистор 5,1 кОм - 0,125 Вт - 5% - 0805</t>
  </si>
  <si>
    <t>RC0805FR-077K68L Чип резистор 7,68 кОм - 0,125 Вт - 1% - 0805</t>
  </si>
  <si>
    <t>RC0805FR-075K1L Чип резистор 5,1 кОм - 0,125 Вт - 1% - 0805</t>
  </si>
  <si>
    <t>RC0805JR-0722KL Чип резистор 22 кОм - 0,125 Вт - 5% - 0805</t>
  </si>
  <si>
    <t>BC817-40, SOT-23 Транзистор BC817-40, SOT-23</t>
  </si>
  <si>
    <t>22035045 Разъем на плату Mini-SPOX PCB Header 4 Circuits</t>
  </si>
  <si>
    <t>ММЦМ.685631.125 Кабель соединительный клеммы проходные-Блок питания 220В-24В-4,2 А ECS100US24-B XPPower</t>
  </si>
  <si>
    <t>PHU-3 (DS1072-3 F) Розетка на кабель PHU-3 (DS1072-3 F)</t>
  </si>
  <si>
    <t>НШВИ 1.5-8 (КВТ) Наконечник кабельный НШВИ 1.5-8 (КВТ)</t>
  </si>
  <si>
    <t>ММЦМ.685621.032 Жгут соединительный система управления БД (Х19)- розетка блочная(Х4)- блок питания</t>
  </si>
  <si>
    <t>2EDGK-5.0-02P-14-00A(H) Розетка на кабель 2EDGK-5.0-02P-14-00A(H)</t>
  </si>
  <si>
    <t>PHU-4 (DS1072-4 F) Розетка на кабель PHU-4 (DS1072-4 F)</t>
  </si>
  <si>
    <t>ММЦМ.685631.133 Кабель соединительный реле с колодкой 24v DC(А2-А1)- система управления БД (Х11)</t>
  </si>
  <si>
    <t>НШВИ 0.5-8 (КВТ) Наконечник кабельный НШВИ 0.5-8 (КВТ)</t>
  </si>
  <si>
    <t>ММЦМ.685631.135 Кабель соединительный плата системы разгрузки(Х3) - led индикатор</t>
  </si>
  <si>
    <t>15EDGK-3.81-02P-14-00A(H) Розетка на кабель 2p, 300В, 8А, 3.81мм</t>
  </si>
  <si>
    <t>19210000 Индикатор блочный</t>
  </si>
  <si>
    <t>ММЦМ.685631.138 Кабель соединительный система управления БД (Х13)- клеммы проходные</t>
  </si>
  <si>
    <t>НШВИ 1.5-8 (КВТ) Наконечник кабельный НШВИ 1-8 (КВТ)</t>
  </si>
  <si>
    <t>ММЦМ.685631.139 Кабель соединительный плата системы разгрузки (Х2) - розетка блочная (Х7)</t>
  </si>
  <si>
    <t>ММЦМ.685621.034 Жгут соединительный система управления БД (Х1)- розетка блочная(Х8)- плата системы разгрузки(Х4)</t>
  </si>
  <si>
    <t>15EDGK-3.81-03P-14-00A(H) Розетка на кабель 3p, 300В, 8А, 3.81мм</t>
  </si>
  <si>
    <t>50375103 Розетка кабельная Mini-SPOX 10 Circuits</t>
  </si>
  <si>
    <t>НШВИ 1-8 (КВТ) Наконечник кабельный НШВИ 1-8 (КВТ)</t>
  </si>
  <si>
    <t>ММЦМ.685631.140 Кабель соединительный система управления БД (Х8, х18)- розетка блочная</t>
  </si>
  <si>
    <t>50375053 Розетка кабельная Mini-SPOX 5 Circuits</t>
  </si>
  <si>
    <t>50375033 Розетка кабельная Mini-SPOX 3 Circuits</t>
  </si>
  <si>
    <t>FQ18-6ZK-S Розетка блочная 6к</t>
  </si>
  <si>
    <t>ММЦМ.685611.048 Провод заземления блок питания (Х3) - клемма проходная</t>
  </si>
  <si>
    <t>РПИ-М 2.5-(4.8) (КВТ) Клемма ножевая РПИ-М 2.5-(4.8) (КВТ)</t>
  </si>
  <si>
    <t>ММЦМ.685611.049 Провод заземления система управления (х29) - клемма проходная</t>
  </si>
  <si>
    <t>НКИ 2.5-5 (КВТ) Клемма кабельная НКИ 2.5-5 (КВТ)</t>
  </si>
  <si>
    <t>ММЦМ.685611.050 Провод заземления болт заземления - клемма проходная</t>
  </si>
  <si>
    <t>НКИ 6.0-6 (КВТ) Клемма кабельная НКИ 6.0-6 (КВТ)</t>
  </si>
  <si>
    <t>LA310302500000В4-2220004230СS000 Актуатор LA31 - 6000 N - 24 V - 4,3A (ход 250мм)</t>
  </si>
  <si>
    <t>ММЦМ.685631.126 Кабель соединительный реле с колодкой 24V DC- система управления БД (Х10)</t>
  </si>
  <si>
    <t>ММЦМ.685631.127 Кабель соединительный система управления БД (Х17)- переходник RJ блочный(Х5)</t>
  </si>
  <si>
    <t>TP-8P8C (RJ45) Вилка кабельная TP-8P8C (RJ45)</t>
  </si>
  <si>
    <t>ММЦМ.685631.128 Кабель соединительный плата системы разгрузки - система управления БД (Х12) - розетка блочная</t>
  </si>
  <si>
    <t>ММЦМ.685631.130 Кабель соединительный система управления БД (Х15)- вентилятор мотора</t>
  </si>
  <si>
    <t>FA20060B22HLAC Вентилятор FA20060B22HLAC 200x200x60, FANOVER</t>
  </si>
  <si>
    <t>ММЦМ.685631.131 Кабель соединительный плата системы разгрузки (Х6 ) - аккумуляторные батареи</t>
  </si>
  <si>
    <t>РПИ-М 2.5-(4.8) (КВТ) Клемма ножевая РПИ-М 1.5-(4.8) (КВТ)</t>
  </si>
  <si>
    <t>БД-01.01.00.005 Пластина</t>
  </si>
  <si>
    <t>БД-01.01.00.008 Виброопора</t>
  </si>
  <si>
    <t>ММЦМ.305435.007-12 Разъемы для периферии. Информационная наклейка.</t>
  </si>
  <si>
    <t>ММЦМ.305435.007-13 Кабель питания и клемма заземления беговой дорожки. Информационная наклейка</t>
  </si>
  <si>
    <t>ММЦМ.305435.007-10 Беговая дорожка серии «РеаТерра», модификация по скорости 10 км / ч, без системы разгрузки. Информационная наклейка</t>
  </si>
  <si>
    <t>ММЦМ.305435.030-02 Разъемы панели управления. Информационная наклейка.</t>
  </si>
  <si>
    <t>CP30220M, RS Pro Cat5e, UTP FT Series либо RJ45 RS 907-5652 Панельный разъем Стресс системы RJ-45</t>
  </si>
  <si>
    <t>FQ18-5ZK-S Розетка блочная FQ18-5ZK-S, 5p, 400 В, 10 А</t>
  </si>
  <si>
    <t>FQ18-12ZK-S Розетка блочная FQ18-12ZK-S, 12p, 400 В, 10 А</t>
  </si>
  <si>
    <t>FQ18-3ZK-S Розетка блочная FQ18-3ZK-S, 3p, 400 В, 10 А</t>
  </si>
  <si>
    <t>FQ24-4ZJ-S Розетка блочная FQ18-4ZK-S, 4p, 400 В, 10 А</t>
  </si>
  <si>
    <t>НВИ 1.5-3 (КВТ) Наконечник кабельный НВИ 1.5-3 (КВТ)</t>
  </si>
  <si>
    <t>НКИ 6.0-6 (КВТ) Наконечник кабельный НКИ 6.0-6 (КВТ)</t>
  </si>
  <si>
    <t>ММЦМ.402254.510 Комплект оптических датчиков заступа за край бегового полотна</t>
  </si>
  <si>
    <t>KLS8-0402-UC-2 Хомут для кабеля под винт 4,6мм D=9.5мм</t>
  </si>
  <si>
    <t>KLS8-0402-UC-1 Хомут для кабеля под винт 4,6мм D=6.35мм</t>
  </si>
  <si>
    <t>BTS1M-TDTD Датчик оптический (приемник) BTS1M-TDTD (in)</t>
  </si>
  <si>
    <t>ММЦМ.685631.144 Кабель соединительный оптический датчик А9 - система управления БД (Х3)</t>
  </si>
  <si>
    <t>ММЦМ.685631.145 Кабель соединительный оптический датчик А6 -оптический датчик А7 - система управления БД (Х4)</t>
  </si>
  <si>
    <t>BTS1M-TDTD Датчик оптический (передатчик) BTS1M-TDTD (in) (Входит в комплект приемника)</t>
  </si>
  <si>
    <t>ММЦМ.421455.001 Система адаптации скорости (САС) бегового полотна</t>
  </si>
  <si>
    <t>ММЦМ.422411.001 Ручной пульт управления 6кн. (модификация без сист. Разгрузки)</t>
  </si>
  <si>
    <t>ММЦМ.301412.001 Панель лицевая пульта управления</t>
  </si>
  <si>
    <t>ММЦМ.422411.001 Ручной пульт управления</t>
  </si>
  <si>
    <t>FQ18-12TJ-6 Вилка кабельная 12к</t>
  </si>
  <si>
    <t>LAP4-3-G LAP4-3-G, 6 кнопок (Hiwin)</t>
  </si>
  <si>
    <t>ММЦМ.303659.001 Кнопка аварийной остановки</t>
  </si>
  <si>
    <t>БД-01.09.00.001 Кронштейн</t>
  </si>
  <si>
    <t>БД-01.09.00.002 Кронштейн</t>
  </si>
  <si>
    <t>БД-01.09.00.003 Пластина</t>
  </si>
  <si>
    <t>Din 934 Гайка М4 Din 934</t>
  </si>
  <si>
    <t>Din 127 Шайба 4 Din 127</t>
  </si>
  <si>
    <t>Din 125 Шайба 4.3 Din 125</t>
  </si>
  <si>
    <t>ММЦМ.305435.041 Кнопка "Экстренная остановка". Наклейка.</t>
  </si>
  <si>
    <t>LAY5-BS542 Кнопка LAY5-BS542, аварийная, с фиксацией поворотная</t>
  </si>
  <si>
    <t>BDK11 Блок контактный 1р</t>
  </si>
  <si>
    <t>КП101 Корпус кнопочный 1 кнопка</t>
  </si>
  <si>
    <t>ММЦМ.685631.149 Кабель кнопки авария</t>
  </si>
  <si>
    <t>MGB12-P-6G Кабельный ввод MGB12-P-6G</t>
  </si>
  <si>
    <t>70002634 Спиральный кабель ÖLFLEX® SPIRAL 400 P (цвет:серый)</t>
  </si>
  <si>
    <t>ММЦМ.431294.001 СБ и СП Встроенный пульт управления (Графическая панель HMI)</t>
  </si>
  <si>
    <t>ММЦМ.468366.001 Печатная плата HMI (Печатный узел)</t>
  </si>
  <si>
    <t>ММЦМ.687254.006-01 Печатная плата ХМИ</t>
  </si>
  <si>
    <t>GRM2165C1H220JZ01D Конд. Керам.     22пФ  50В   5% 0805 C0G</t>
  </si>
  <si>
    <t>CC0805KKX5R5BB106 Конд. Керам.   10мкФ 6.3В 10% 0805 X5R</t>
  </si>
  <si>
    <t>C0805C105J4RAC Конд. Керам.     1мкФ  16В   5% 0805 X7R</t>
  </si>
  <si>
    <t>C0805C104J5RAC7210 Конд. Керам.   100нФ  50В   5% 0805 X7R</t>
  </si>
  <si>
    <t>C0805C475J4RACAUTO7210 Конд. Керам.  4.7мкФ  16В   5% 0805 X7R</t>
  </si>
  <si>
    <t>MAL215097101E3 Конд. Алюм.  100мкФ  50В 20%</t>
  </si>
  <si>
    <t>VJ1812Y105JXAAR Конд. Керам.     1мкФ  50В   5% 1812 X7R</t>
  </si>
  <si>
    <t>C0805C103J5RACTU Конд. Керам.     10нФ  50В   5% 0805 X7R</t>
  </si>
  <si>
    <t>GRM32ER61C476KE15L Конд. Керам.   47мкФ  16В 10% 1210 X5R</t>
  </si>
  <si>
    <t>MAL215097501E3 Конд. Алюм.  470мкФ  16В 20%</t>
  </si>
  <si>
    <t>VJ0805A221JXAAC Конд. Керам.   220пФ  50В   5% 0805 X7R</t>
  </si>
  <si>
    <t>MAL215097001E3 Конд. Алюм.  220мкФ  35В 20%</t>
  </si>
  <si>
    <t>C0805C332J5GAC Конд. Керам.    3.3нФ  50В   5% 0805 X7R</t>
  </si>
  <si>
    <t>NFM41PC155B1E3L Проходной Конд. Керам. 1.5мкФ 25В 6А 20% 1806</t>
  </si>
  <si>
    <t>SMBJ33A Защитный диод 36.7 - 40.6В  1мкА  11.3А  53.3V</t>
  </si>
  <si>
    <t>V8PAL50-M3/I Диод 50В 4/8А 570мВ</t>
  </si>
  <si>
    <t>PTVS3V3S1UR Защитный диод 5.2 - 6.0В  600мкА  43.8А  8V</t>
  </si>
  <si>
    <t>SMBJ5.0A Защитный диод 6.4 - 7.07В  800мкА  65.2А  9.2V</t>
  </si>
  <si>
    <t>TL431ACDBZT, SOT-23_3 ИОН TL431ACDBZT, SOT-23_3</t>
  </si>
  <si>
    <t>OPA244NA/250 Операционный усил. 2.2-36В</t>
  </si>
  <si>
    <t>DS3231SN, SOIC-16 Часы RTC с I2C</t>
  </si>
  <si>
    <t>FE1.1s, SSOP-28 Контроллер USB 2.0 4-PORT хаб IC</t>
  </si>
  <si>
    <t>MAX3232EID, SOIC-16 Приемопередатчик интерфейса RS-232</t>
  </si>
  <si>
    <t>TFP401A Конвертер HDMI to ParallelBusDVI</t>
  </si>
  <si>
    <t>DS90C387A Конвертер ParallelBusDVI to 2 chanel LVDS</t>
  </si>
  <si>
    <t>bq21040 Single Cell Li-Ion and Li-Pol Battery Charger 0.8A 3.5-28Vin</t>
  </si>
  <si>
    <t>LTC4415IMSE И.диод 1.7-5.5В 50мΩ 4А</t>
  </si>
  <si>
    <t>TPA2000D1 Аудио усилитель 2Вт моно 5В</t>
  </si>
  <si>
    <t>PAM2306AYPKE Конвертер 2.5V to 5.5V Step Down Dual-Out 3.3V/1.8V 1A, 12-Pin, WDFN EP T/R</t>
  </si>
  <si>
    <t>TPS3701DDCT Супервизор adj</t>
  </si>
  <si>
    <t>MF-MSMF050-2 Пред. 15В 0.5А  1812</t>
  </si>
  <si>
    <t>MF-MSMF250/16-2 Пред. 16В 2.5А  1812</t>
  </si>
  <si>
    <t>MF-SM075/60 Пред. 60В 750mА  1812</t>
  </si>
  <si>
    <t>MF-MSMF110/24X Пред. 24В 1.1А  1812</t>
  </si>
  <si>
    <t>S8421-45R Батарейный отсек CR2032</t>
  </si>
  <si>
    <t>3-1825910-1 Кнопка 24В 50мА 100мΩ TYCO; FSM16JH 100ks</t>
  </si>
  <si>
    <t>BLM31KN471SN1L _1 Ферит бусина 4А Z=470 Ω R=0,02 Ω 1206</t>
  </si>
  <si>
    <t>MPZ1608S221 Ферит бусина 2.2А Z=220 Ω R=0,05 Ω 0603</t>
  </si>
  <si>
    <t>ACM2012D-900-2P EMI фильтр. Частота среза 3.5GHz Recomended: HDMI до 36bit/color 1.11GHz</t>
  </si>
  <si>
    <t>CDRH127/LDNP-390M Дроссель  39uH 20%  3.5A</t>
  </si>
  <si>
    <t>XFL4030-472ME Дроссель 4.7uH 20%  2.1A</t>
  </si>
  <si>
    <t>CDRH127/LDNP-680M Дроссель  68uH 20%  2.6A</t>
  </si>
  <si>
    <t>KX-9AT 12.0 MHz Кварц 12Мгц SMD</t>
  </si>
  <si>
    <t>RC0805FR-0710KL Резистор      10 кΩ 125мВт   1% 0805 200ppm</t>
  </si>
  <si>
    <t>RC0805FR-071KL Резистор        1 кΩ 125мВт   1% 0805 200ppm</t>
  </si>
  <si>
    <t>RC0805FR-071ML Резистор       1 MΩ 125мВт   1% 0805 200ppm</t>
  </si>
  <si>
    <t>AC0805FR-070RL Резистор          0 Ω 125мВт   1% 0805 200ppm</t>
  </si>
  <si>
    <t>RC0805FR-07100KL Резистор    100 кΩ 125мВт   1% 0805 200ppm</t>
  </si>
  <si>
    <t>RC0805FR-07510RL Резистор      510 Ω 125мВт   1% 0805</t>
  </si>
  <si>
    <t>RC0805FR-0730K1L Резистор   30.1 кΩ 125мВт   1% 0805 200ppm</t>
  </si>
  <si>
    <t>RC0805FR-07100RL Резистор      100 Ω 125мВт   1% 0805 200ppm</t>
  </si>
  <si>
    <t>RC0805FR-072K7L Резистор     2.7 кΩ 125мВт   1% 0805 100ppm</t>
  </si>
  <si>
    <t>RC0805FR-0720RL Резистор        20 Ω 125мВт   1% 0805 200ppm</t>
  </si>
  <si>
    <t>RC0805FR-073K6L Резистор     3.6 кΩ 125мВт   1% 0805</t>
  </si>
  <si>
    <t>RC0805FR-0712KL Резистор      12 кΩ 125мВт   1% 0805</t>
  </si>
  <si>
    <t>RC0805FR-072KL Резистор        2 кΩ 125мВт   1% 0805 100ppm</t>
  </si>
  <si>
    <t>RC0805FR-0733KL Резистор      33 кΩ 125мВт   1% 0805</t>
  </si>
  <si>
    <t>RC0805FR-074K7L Резистор     4.7 кΩ 125мВт   1% 0805</t>
  </si>
  <si>
    <t>RC0805FR-0710RL Резистор        10 Ω 125мВт   1% 0805 200ppm</t>
  </si>
  <si>
    <t>RC0805FR-07120KL Резистор    120 кΩ 125мВт   1% 0805 200ppm</t>
  </si>
  <si>
    <t>RC0805FR-0756KL Резистор      56 кΩ 125мВт   1% 0805 200ppm</t>
  </si>
  <si>
    <t>RC0805FR-0715KL Резистор      15 кΩ 125мВт   1% 0805 200ppm</t>
  </si>
  <si>
    <t>RC0805FR-0762KL Резистор      62 кΩ 125мВт   1% 0805 200ppm</t>
  </si>
  <si>
    <t>RC0805FR-075K1L Резистор     5.1 кΩ 125мВт   1% 0805</t>
  </si>
  <si>
    <t>RC0805FR-072RL Резистор          2 Ω 125мВт   1% 0805 200ppm</t>
  </si>
  <si>
    <t>LM2676S-ADJ Vin=8-40V 3A 260kHz Eff=94%</t>
  </si>
  <si>
    <t>KPG1-1608VGC-TT-5MAV, 1608 Светодиод, GREEN</t>
  </si>
  <si>
    <t>FDMC510P MOSFET P-Channel -20В  -18А  8.0мΩ</t>
  </si>
  <si>
    <t>629104190121 Разъем USB Type A SMT</t>
  </si>
  <si>
    <t>XF2M-1015-1A Разъем FPC 10pin 0.5mm</t>
  </si>
  <si>
    <t>614008235023 Разъем USB Type A 2x4 Vertcl Dual Feml</t>
  </si>
  <si>
    <t>0512964094 Разъем 40p  0.5мм LLC</t>
  </si>
  <si>
    <t>103635-2 Разъем на плату угловой 103635-2</t>
  </si>
  <si>
    <t>103635-1 Разъем на плату угловой 103635-1</t>
  </si>
  <si>
    <t>103635-4 Разъем на плату угловой 103635-4</t>
  </si>
  <si>
    <t>112C-TBAR-R02 Разъем SD Micro ATTEND</t>
  </si>
  <si>
    <t>DDR2 SODIMM Разъем DDR2 SODIMM 200p</t>
  </si>
  <si>
    <t>ММЦМ.563511.001 СБ и СП Модификация наконечников аккумулятора HMI</t>
  </si>
  <si>
    <t>LP103454LC-PCM-LD Aккумулятор Li-Pol 103454 3,7В 2Ач</t>
  </si>
  <si>
    <t>104257-2  (TYCO) Разъем кабельный 3pin</t>
  </si>
  <si>
    <t>1-104480-6 (TYCO)  Wire-to-Board Connector Contacts</t>
  </si>
  <si>
    <t>ММЦМ.685631.160 СБ и СП Кабель питания к плате HMI-панели</t>
  </si>
  <si>
    <t>SACC-EC-M12FS-5CON-PG 9/0,5 VA - 1554652 Разъем HMI панельный</t>
  </si>
  <si>
    <t>104257-4  (TYCO) Разъем кабельный 5pin</t>
  </si>
  <si>
    <t>ММЦМ.687242.002 Печатная плата Рамка TouchScreen</t>
  </si>
  <si>
    <t>ММЦМ.757883.001 СБ и СП Динамик HMI</t>
  </si>
  <si>
    <t>CMS0321KLX Динамическая головка 8Ом 4Вт</t>
  </si>
  <si>
    <t>104257-1  (TYCO) Разъем кабельный 2pin</t>
  </si>
  <si>
    <t>ММЦМ.943119.007 СБ и СП Матрица</t>
  </si>
  <si>
    <t>HSD101PWW1-A00 Матрица без ушей</t>
  </si>
  <si>
    <t>БД-01.12.00.001 Пластина</t>
  </si>
  <si>
    <t>БД-01.12.00.002 Пластина</t>
  </si>
  <si>
    <t>БД-01.12.00.004 Корпус</t>
  </si>
  <si>
    <t>B4146107 Корпус Front panel ABS, IFT L</t>
  </si>
  <si>
    <t>БД-01.12.00.010 СБ Скоба</t>
  </si>
  <si>
    <t>ММЦМ.305435.053 Панель ХМИ. Информационная наклейка.</t>
  </si>
  <si>
    <t>ММЦМ.305435.058 ХМИ Разъем питания. Информационная наклейка.</t>
  </si>
  <si>
    <t>ММЦМ.305435.059 ХМИ Разъем USB. Информационная наклейка.</t>
  </si>
  <si>
    <t>3x10 A2 9090 Винт самонарезающий с потайной головкой для термопластов 3x10 A2 9090</t>
  </si>
  <si>
    <t>3x10 A2 9091 Саморез для пластика, полукруглая головка 3x10 A2 9091</t>
  </si>
  <si>
    <t>PCSN-12 Стойка латунная для печатной платы M3 круглая D=5мм (KLS)</t>
  </si>
  <si>
    <t>OD2305 Hardkernel Bluetooth Module 2 (модуль Bluetooth)</t>
  </si>
  <si>
    <t>PB101JG2084 Сенсорное стекло черное</t>
  </si>
  <si>
    <t>SDSQUNS-016G-GN3MA Флешкарта microSD</t>
  </si>
  <si>
    <t>CR2032 Батарея CR2032</t>
  </si>
  <si>
    <t>B4046717 Корпус Bottom part flat, IFT L</t>
  </si>
  <si>
    <t>ММЦМ.687242.002 Печатная плата Рамка для ХМИ</t>
  </si>
  <si>
    <t>RAM-B-201U Крепление RAM® 95 мм муфта под шары 25 мм (1"), алюминий.</t>
  </si>
  <si>
    <t>RAM-B-202U Крепление RAM® круглая площадка 64 мм с отверстиями AMPS. Шар 25 мм (1"), алюминий.</t>
  </si>
  <si>
    <t>RAP-B-397BNHU шар RAM® Pin-Lock™ 25 мм (1") с круглым основанием и сквозным отверстием для крепления</t>
  </si>
  <si>
    <t>F 6-12 M Подшипник</t>
  </si>
  <si>
    <t>7427225 Феритовый фильтр на шлейф LVDS</t>
  </si>
  <si>
    <t>FPC-0,5-40-100 Шлейф пленочный шаг 0,5мм прямой под разъем</t>
  </si>
  <si>
    <t>RASP1884 USB 2.0 WiFi Adapter 300Mbps 802.11N/G/B</t>
  </si>
  <si>
    <t>FIX-MAD-2.2 Дистанционная защелка FIX-MAD-2.2</t>
  </si>
  <si>
    <t>ММЦМ.305111.002 Комплект фиксированных больших поручней для беговой дорожки без кронштейна для встроенного пульта управления</t>
  </si>
  <si>
    <t>ММЦМ.305111.009 Комплект фиксированных больших поручней для беговой дорожки без кронштейна для встроенного пульта управления (исполнение без подготовки под модуль СМ ЧСС)</t>
  </si>
  <si>
    <t>БД-01.02.01.000 Левый фиксированный большой поручень</t>
  </si>
  <si>
    <t>ММЦМ.305435.031-02 Фиксированный большой поручень левый. Принадлежность.</t>
  </si>
  <si>
    <t>ММЦМ.305111.021-01 Правый фиксированный большой поручень без кронштейна для встроенного пульта управления (исполнение без подготовки под модуль СМ ЧСС)</t>
  </si>
  <si>
    <t>ММЦМ.305435.031-01 Фиксированный большой поручень правый. Принадлежность.</t>
  </si>
  <si>
    <t>ММЦМ.305111.003 Комплект фиксированных малых поручней для беговой дорожки без кронштейна для встроенного пульта управления</t>
  </si>
  <si>
    <t>ММЦМ.305111.011 Комплект фиксированных малых поручней для беговой дорожки без кронштейна для встроенного пульта управления (исполнение без подготовки под модуль СМ ЧСС)</t>
  </si>
  <si>
    <t>БД-01.03.01.000 Левый фиксированный малый поручень</t>
  </si>
  <si>
    <t>ММЦМ.305435.032-02 Фиксированный малый поручень левый. Принадлежность.</t>
  </si>
  <si>
    <t>ММЦМ.305111.022-01 Правый фиксированный малый поручень без кронштейна для встроенного пульта управления (исполнение без подготовки под модуль СМ ЧСС)</t>
  </si>
  <si>
    <t>ММЦМ.305435.032-01 Фиксированный малый поручень правый. Принадлежность.</t>
  </si>
  <si>
    <t>ММЦМ.305111.004 Комплект регулируемых поручней для беговой дорожки без кронштейна для встроенного пульта управления</t>
  </si>
  <si>
    <t>ММЦМ.305111.013 Комплект регулируемых поручней для беговой дорожки без кронштейна для встроенного пульта управления (исполнение без подготовки под модуль СМ ЧСС)</t>
  </si>
  <si>
    <t>БД-01.04.01.000 Левый регулируемый поручень</t>
  </si>
  <si>
    <t>ММЦМ.305435.033-02 Регулируемый поручень левый. Принадлежность.</t>
  </si>
  <si>
    <t>ММЦМ.305111.023-01 Правый регулируемый поручень без кронштейна для встроенного пульта управления (исполнение без подготовки под модуль СМ ЧСС)</t>
  </si>
  <si>
    <t>ММЦМ.305435.033-01 Регулируемый поручень правый. Принадлежность.</t>
  </si>
  <si>
    <t>ММЦМ.305111.005 Комплект фиксированных больших поручней для беговой дорожки с кронштейном для встроенного пульта управления</t>
  </si>
  <si>
    <t>ММЦМ.305111.015 Комплект фиксированных больших поручней для беговой дорожки  с кронштейном для встроенного пульта управления (исполнение без подготовки под модуль СМ ЧСС)</t>
  </si>
  <si>
    <t>ММЦМ.305435.031-04 Фиксированный большой поручень левый. Принадлежность.</t>
  </si>
  <si>
    <t>ММЦМ.305111.021-02 Правый фиксированный большой поручень  с кронштейном для встроенного пульта управления (исполнение без подготовки под модуль СМ ЧСС)</t>
  </si>
  <si>
    <t>БД-01.02.02.100 Правый фиксированный большой поручень  с кронштейном для встроенного пульта управления (исполнение без подготовки под модуль СМ ЧСС)</t>
  </si>
  <si>
    <t>ММЦМ.685631.148  Кабель ХМИ</t>
  </si>
  <si>
    <t>ММЦМ.305435.067-01 Кабель встроенного пульта управления. Информационная наклейка.</t>
  </si>
  <si>
    <t>LAPP KABEL X05VV-F 5G0.5  Кабель универсальный 2м</t>
  </si>
  <si>
    <t>FQ18-6TJ-6 Вилка кабельная 6к</t>
  </si>
  <si>
    <t>SACC-M12MR-5PL SH - 1424659 Разъем HMI кабельный</t>
  </si>
  <si>
    <t>ММЦМ.305435.031-05 Фиксированный большой поручень правый с кронштейном. Принадлежность.</t>
  </si>
  <si>
    <t>ММЦМ.305111.006 Комплект фиксированных малых поручней для беговой дорожки с кронштейном для встроенного пульта управления</t>
  </si>
  <si>
    <t>ММЦМ.305111.017 Комплект фиксированных малых поручней для беговой дорожки с кронштейном для встроенного пульта управления (исполнение без подготовки под модуль СМ ЧСС)</t>
  </si>
  <si>
    <t>ММЦМ.305435.032-04 Фиксированный малый поручень левый. Принадлежность.</t>
  </si>
  <si>
    <t>ММЦМ.305111.031 Правый фиксированный малый поручень с кронштейном для встроенного пульта управления (исполнение без подготовки под модуль СМ ЧСС) (в сборе)</t>
  </si>
  <si>
    <t>БД-01.03.02.100 Правый фиксированный малый поручень с кронштейном для встроенного пульта управления (исполнение без подготовки под модуль СМ ЧСС)</t>
  </si>
  <si>
    <t>ММЦМ.685631.148 Кабель ХМИ</t>
  </si>
  <si>
    <t>ММЦМ.305435.032-05 Фиксированный малый поручень правый с кронштейном. Принадлежность.</t>
  </si>
  <si>
    <t>ММЦМ.305111.007 Комплект регулируемых поручней для беговой дорожки с кронштейном для встроенного пульта управления</t>
  </si>
  <si>
    <t>ММЦМ.305111.019 Комплект регулируемых поручней для беговой дорожки с кронштейном для встроенного пульта управления (исполнение без подготовки под модуль СМ ЧСС)</t>
  </si>
  <si>
    <t>ММЦМ.305435.033-04 Регулируемый поручень левый. Принадлежность.</t>
  </si>
  <si>
    <t>ММЦМ.305111.032 Правый регулируемый поручень с кронштейном для встроенного пульта управления (исполнение без подготовки под модуль СМ ЧСС) (в сборе)</t>
  </si>
  <si>
    <t>БД-01.04.02.100 Правый регулируемый поручень с кронштейном для встроенного пульта управления (исполнение без подготовки под модуль СМ ЧСС)</t>
  </si>
  <si>
    <t>ММЦМ.305435.033-05 Регулируемый поручень правый с кронштейном. Принадлежность.</t>
  </si>
  <si>
    <t>ММЦМ.305435.034-01 Дуга безопасности фикс. Принадлежность.</t>
  </si>
  <si>
    <t>ММЦМ.305435.034-02 Дуга безопасности рег. Принадлежность</t>
  </si>
  <si>
    <t>БД-01.05.00.200-01 Кронштейн</t>
  </si>
  <si>
    <t>ММЦМ.305435.035 Рампа для инв. коляски. Принадлежность.</t>
  </si>
  <si>
    <t>ММЦМ.305435.036-02 Упор для рук левый. Принадлежность.</t>
  </si>
  <si>
    <t>ММЦМ.305435.036-01 Упор для рук правый. Принадлежность.</t>
  </si>
  <si>
    <t>ММЦМ.436228.002 Трансформатор разделительный 2,5 кВА</t>
  </si>
  <si>
    <t>ММЦМ.305435.008-07 Сетевой разъем трансформатора 2.5 кВА. Информационная наклейка.</t>
  </si>
  <si>
    <t>ММЦМ.305435.009-03 Плавкие вставки. Однофазные беговые дорожки. Информационная наклейка.</t>
  </si>
  <si>
    <t>ММЦМ.305435.008-05 Трансформатор разделительный 2,5 кВА. Информационная наклейка.</t>
  </si>
  <si>
    <t>ММЦМ.305435.008-06 Сетевой разъем беговой дорожки 2.5 кВА. Информационная наклейка.</t>
  </si>
  <si>
    <t>БД-01.11.00.100 Основание</t>
  </si>
  <si>
    <t>БД-01.11.00.101 Труба</t>
  </si>
  <si>
    <t>БД-01.11.00.102 Труба</t>
  </si>
  <si>
    <t>БД-01.11.00.103 Труба</t>
  </si>
  <si>
    <t>БД-01.11.00.104 Втулка</t>
  </si>
  <si>
    <t>БД-01.11.00.105 Втулка</t>
  </si>
  <si>
    <t>БД-01.11.00.106 Основание</t>
  </si>
  <si>
    <t>БД-01.11.00.200 Крышка</t>
  </si>
  <si>
    <t>БД-01.11.00.201 Крышка</t>
  </si>
  <si>
    <t>БД-01.11.00.202 Стенка</t>
  </si>
  <si>
    <t>БД-01.11.00.001 Кожух</t>
  </si>
  <si>
    <t>БД-01.11.00.002 Стенка боковая</t>
  </si>
  <si>
    <t>БД-01.11.00.300 Стенка боковая</t>
  </si>
  <si>
    <t>БД-01.11.00.301 Стенка боковая</t>
  </si>
  <si>
    <t>БД-01.11.00.302 Ухо</t>
  </si>
  <si>
    <t>LRA-VPA 50K-Fl Колесо</t>
  </si>
  <si>
    <t>РП.09.35 (ТК09.35) Потайная ручка, установочный размер 49х90мм, пластик, цвет чёрный</t>
  </si>
  <si>
    <t>ММЦМ.436222.001-01 Плата мягкого пуска трансформатора (Печатный узел)</t>
  </si>
  <si>
    <t>ММЦМ.687253.013-01 Плата мягкого пуска трансформатора</t>
  </si>
  <si>
    <t>JFB02J105K275000B Конденсатор JFB 1,0 мкФ - 630 В (JB capacitors)</t>
  </si>
  <si>
    <t>SH035M0470A5S-1015 Конденсатор SH 470 мкФ - 35 В (10х15)</t>
  </si>
  <si>
    <t>LM78L12AC, TO-92 Микросхема LM78L12AC, TO-92</t>
  </si>
  <si>
    <t>NE555D, SO-8 Микросхема NE555D, SO-8</t>
  </si>
  <si>
    <t>SQP10-300R Резистор проволочный SQP 300 Ом - 10Вт - 5%</t>
  </si>
  <si>
    <t>PR03000202703JAC00 Резистор 270 кОм - 3,0 Вт - 5%</t>
  </si>
  <si>
    <t>MS35 0R550 Термистор NTC 0.5Ом - 50А - 900Дж</t>
  </si>
  <si>
    <t>RC0805JR-07180KL Чип резистор 180 кОм - 0,125 Вт - 5% - 0805</t>
  </si>
  <si>
    <t>G8P1A4P12DC Реле электромеханическое G8P1A4P12DC, 12В - 30А, 250В</t>
  </si>
  <si>
    <t>DB104, DB-1 Мост диодный DB104, DB-1</t>
  </si>
  <si>
    <t>1N4746A, DO-41(G) Стабилитрон 1N4746A, DO-41(G)</t>
  </si>
  <si>
    <t>DG78C-B-06P-13-00A(H) Клеммник барьерный DG78C-B-06P-13-00A(H)</t>
  </si>
  <si>
    <t>M22−DDL−GR−X1/X0/K11/230−W, Eaton Кнопка сдвоенная 1з+1р с подсветкой (I-O)</t>
  </si>
  <si>
    <t>EZ9F14232 Автоматический выключатель EASY 9 2П 32A B 4,5кА 230В</t>
  </si>
  <si>
    <t>1895106 Держатель предохранителей 10,3Х38 2-полюсный 32А, 690В AC/DC  (E92/32)</t>
  </si>
  <si>
    <t>6975375 Плавкая вставка цилиндрическая ПВЦ 10х38 20А (pvc-10x38-20)</t>
  </si>
  <si>
    <t>6100.3 Разъем Вилка C14</t>
  </si>
  <si>
    <t>ММЦМ.671117.002 Модификация наконечников трансформатора</t>
  </si>
  <si>
    <t>ОСМ Т 220/220-2,5-50 Трансформатор разделительный (крепление 4-а) (Выводы обмоток длиной 60см без клемника и кронштейна под него)(изол.3,5кВ)</t>
  </si>
  <si>
    <t>ММЦМ.685611.042 Провод заземления розетка блочная - болт заземления</t>
  </si>
  <si>
    <t>РПИ-М 1.5-7-0.8 (КВТ) Наконечник кабельный РПИ-М 1.5-7-0.8 (КВТ)</t>
  </si>
  <si>
    <t>ММЦМ.685611.043 Провод соединительный контактор модульный - кнопка двойная</t>
  </si>
  <si>
    <t>ММЦМ.685621.030 Жгут соединительный держатель предохранителей - контактор модульный-кнопка двойная</t>
  </si>
  <si>
    <t>НШВИ 2.5-8 (КВТ) Наконечник кабельный НШВИ 2.5-8 (КВТ)</t>
  </si>
  <si>
    <t>ММЦМ.685621.031 Жгут соединительный плата мягкого пуска - кнопка двойная - контактор модульный</t>
  </si>
  <si>
    <t>ММЦМ.685631.122 Кабель соединительный держатель предохранителей- вилка блочная</t>
  </si>
  <si>
    <t>ММЦМ.685631.123 Кабель соединительный автоматический выключатель - розетка блочная - болт заземления</t>
  </si>
  <si>
    <t>FQ24-4ZK-S Розетка блочная 4к</t>
  </si>
  <si>
    <t>VCOM CE021-CU1.5-1.8 Кабель сетевой VCOM CE021-CU1.5-1.8</t>
  </si>
  <si>
    <t>ММЦМ.305435.067-04 Кабель питания трансформатора. Информационная наклейка.</t>
  </si>
  <si>
    <t>ММЦМ.685631.147 Кабель питания</t>
  </si>
  <si>
    <t>ММЦМ.305435.067-03 Кабель питания беговой дорожки. Информационная наклейка.</t>
  </si>
  <si>
    <t>FQ18-3TJ-5 Вилка кабельная 4к</t>
  </si>
  <si>
    <t>T120 Выключатель с красной подсветкой (двойной)</t>
  </si>
  <si>
    <t>БД-01.05.00.002 Шпилька (ось)</t>
  </si>
  <si>
    <t>Гайка М8 Din 985 Гайка М8 Din 985</t>
  </si>
  <si>
    <t>Шайба 8 Din 125 Шайба 8 Din 125</t>
  </si>
  <si>
    <t>Пластиковый колпачок на болт М8, TPD8 Пластиковый колпачок на болт М8, TPD8</t>
  </si>
  <si>
    <t>БД-01.05.00.001 Втулка</t>
  </si>
  <si>
    <t>Болт М8х24 Din 912, цвет чёрный Болт М8х24 Din 912, цвет чёрный</t>
  </si>
  <si>
    <t>Шайба 8 Din 125, цвет чёрный Шайба 8 Din 125, цвет чёрный</t>
  </si>
  <si>
    <t>Шайба М8 Din 127, цвет чёрный Шайба М8 Din 127, цвет чёрный</t>
  </si>
  <si>
    <t>Винт М5х8 Din 965, цвет чёрный Винт М5х8 Din 965, цвет чёрный</t>
  </si>
  <si>
    <t>ММЦМ.305435.037 Сиденье. Принадлежность.</t>
  </si>
  <si>
    <t>RE-MARENA.RU  Смазывающая жидкость для полотна</t>
  </si>
  <si>
    <t>Polar H7 Датчик ЧСС Polar H7</t>
  </si>
  <si>
    <t>Polar H10 Датчик ЧСС Polar H10</t>
  </si>
  <si>
    <t>ММЦМ.422419.004 Беспроводное устройство управления</t>
  </si>
  <si>
    <t>DNS Airtab MF1011 Переносной пульт управления (планшетный компьютер DNS Airtab MF1011)</t>
  </si>
  <si>
    <t>RS16-126B Розетка стационарная с заземле-нием для скрытой проводки со шторками IP44 Schneider Electric</t>
  </si>
  <si>
    <t>PA16-044B Розетка стационарная с заземле-нием для наружного монтажа со шторками IP44 Schneider Electric</t>
  </si>
  <si>
    <t>ММЦМ.941146.001 ПС Паспорт</t>
  </si>
  <si>
    <t>ТУ 9444-009-68709709-2016 Технические условия</t>
  </si>
  <si>
    <t>ММЦМ.941146.904 Беговая дорожка серии "РеаТерра" мод. 0.1-12 км/ч, С СР, комплекс</t>
  </si>
  <si>
    <t>ММЦМ.685631.134 Кабель соединительный аккумуляторные батареи - самовосст. Предохранитель</t>
  </si>
  <si>
    <t>60R300XF Самовосст. Предохранитель 60R300XF 60DВ  3А</t>
  </si>
  <si>
    <t>РПИ-М 1.5-(4.8) (КВТ) Клемма ножевая РПИ-М 1.5-(4.8) (КВТ)</t>
  </si>
  <si>
    <t>ММЦМ.305435.007-11 Беговая дорожка серии «РеаТерра», модификация по скорости 10 км / ч, с системой разгрузки. Информационная наклейка</t>
  </si>
  <si>
    <t>DTM 12032 Аккумуляторная батарея Delta DTM 12032 (12V / 3.2Ah)</t>
  </si>
  <si>
    <t>ММЦМ.435221.003-01 Шасси платы управления</t>
  </si>
  <si>
    <t>ММЦМ.468367.026 Плата системы разгрузки (Печатный узел)</t>
  </si>
  <si>
    <t>ГОСТ 19783-74 или аналог. Термопаста КПТ-8</t>
  </si>
  <si>
    <t>PCHSN-5 Стойка М3х5 PCHSN-5</t>
  </si>
  <si>
    <t>PCHSN-10 Стойка М3х10 PCHSN-10</t>
  </si>
  <si>
    <t>2А1813 Прокладка теплопроводящая ТО-220 0,2мм</t>
  </si>
  <si>
    <t>ТО3 Изоляционная втулка ТО3</t>
  </si>
  <si>
    <t>ММЦМ.301415.100 Радиатор HS183-70</t>
  </si>
  <si>
    <t>ММЦМ.687253.026-01 Плата системы разгрузки</t>
  </si>
  <si>
    <t>15EDGRC-3.81-02P-14-00A(H) Вилка на плату 15EDGVC-3.81-02P-14-00A(H)</t>
  </si>
  <si>
    <t>15EDGVC-3.81-02P-14-00A(H) Вилка на плату 15EDGVC-3.81-02P-14-00A(H)</t>
  </si>
  <si>
    <t>SS15-DC, SMA Диод SS15-DC, SMA</t>
  </si>
  <si>
    <t>VS-20CTQ045SPBF, D2PACK Диод шоттки 45V 20A</t>
  </si>
  <si>
    <t>GBK15B, GBK Диодный мост GBK15B, GBK</t>
  </si>
  <si>
    <t>GRM21BR71H105KA12L Керам. ЧИП конд. 1,0 мкФ - 50 В - X7R - 10 % - 0805</t>
  </si>
  <si>
    <t>63MXG5600MEFCSN35X25 Конденсатор 63В, 5600мкФ</t>
  </si>
  <si>
    <t>SH035M0100A5S-0811 Конденсатор SH 100 мкФ - 35 В (8х11)</t>
  </si>
  <si>
    <t>TRD-24VDC-SB-CL Реле TRD-24VDC-SB-CL, 24VDC / 12A</t>
  </si>
  <si>
    <t>L200CV Стабилизатор напряжения L200CV</t>
  </si>
  <si>
    <t>TZMB10-GS08, SOD-80 Стабилитрон TZMB10-GS08, SOD-80</t>
  </si>
  <si>
    <t>TZMB12-GS08, SOD-80 Стабилитрон TZMB12-GS08, SOD-80</t>
  </si>
  <si>
    <t>TZMB27-GS08, SOD-80 Стабилитрон TZMB27-GS08, SOD-80</t>
  </si>
  <si>
    <t>TZMB5V1-GS08, SOD-80 Стабилитрон TZMB5V1-GS08, SOD-80</t>
  </si>
  <si>
    <t>B57861S0103F040 Термистор NTC 10 кОм - 60 мВт - 1%</t>
  </si>
  <si>
    <t>STD65N55F3, DPAK Транзистор STD65N55F3, DPAK</t>
  </si>
  <si>
    <t>2SD2560, TO-3P Транзистор 2SD2560, TO-3P</t>
  </si>
  <si>
    <t>WSR3R1500FEA Чип резистор 0.15Ом, 3W</t>
  </si>
  <si>
    <t>RL2512JK-070R75L Чип резистор 0,75 Ом - 1,0 Вт - 5% - 2512</t>
  </si>
  <si>
    <t>RC1206JR-0710KL Чип резистор 10 кОм - 0,25 Вт - 5% - 1206</t>
  </si>
  <si>
    <t>RC1206FR-0712KL Чип резистор 12 кОм - 0,25 Вт - 1% - 1206</t>
  </si>
  <si>
    <t>RC1206JR-072KL Чип резистор 2 кОм - 0,25 Вт - 5% - 1206</t>
  </si>
  <si>
    <t>RC1206JR-0720KL Чип резистор 20 кОм - 0,25 Вт - 5% - 1206</t>
  </si>
  <si>
    <t>RC1206JR-073KL Чип резистор 3 кОм - 0,25 Вт - 5% - 1206</t>
  </si>
  <si>
    <t>RC1206JR-07330RL Чип резистор 330 Ом - 0,25 Вт - 5% - 1206</t>
  </si>
  <si>
    <t>RC1206JR-074K3L Чип резистор 4.3 кОм - 0,25 Вт - 5% - 1206</t>
  </si>
  <si>
    <t>RC1206JR-07430RL Чип резистор 430 Ом - 0,25 Вт - 5% - 1206</t>
  </si>
  <si>
    <t>RC1206JR-075K1L Чип резистор 5.1 кОм - 0,25 Вт - 5% - 1206</t>
  </si>
  <si>
    <t>RC1206JR-0751KL Чип резистор 51 кОм - 0,25 Вт - 5% - 1206</t>
  </si>
  <si>
    <t>RC1206JR-0756RL Чип резистор 56 Ом - 0,25 Вт - 5% - 1206</t>
  </si>
  <si>
    <t>RC1206FR-077K32L Чип резистор 7.32 кОм - 0,25 Вт - 1% - 1206</t>
  </si>
  <si>
    <t>RC1206JR-07820RL Чип резистор 820 Ом - 0,25 Вт - 1% - 1206</t>
  </si>
  <si>
    <t>RC1206JR-07910RL Чип резистор 910 Ом - 0,25 Вт - 5% - 1206</t>
  </si>
  <si>
    <t>LVR075S-240 Самовосст. Предохранитель 240AC 750мА</t>
  </si>
  <si>
    <t>ТТП-100-0044 + комплект крепежа (ф. Электрон Комплекс) Трансформатор 100-220/24</t>
  </si>
  <si>
    <t>ММЦМ.422411.005 Ручной пульт управления 8кн. (модификация с сист. Разгрузки)</t>
  </si>
  <si>
    <t>ММЦМ.301412.002 Панель лицевая пульта управления</t>
  </si>
  <si>
    <t>ММЦМ.422411.006 Ручной пульт управления</t>
  </si>
  <si>
    <t>LAP4-4-G LAP4-4-G, 8 кнопок (Hiwin)</t>
  </si>
  <si>
    <t>ММЦМ.303359.002 Система разгрузки</t>
  </si>
  <si>
    <t>ММЦМ.305435.011-02 Система разгрузки. Информационная наклейка.</t>
  </si>
  <si>
    <t>СР-01.01.000 Основание</t>
  </si>
  <si>
    <t>СР-01.02.000 Стойка</t>
  </si>
  <si>
    <t>СР-01.03.000 Каркас</t>
  </si>
  <si>
    <t>LA31030200А000В4-2220003730BС000 Актуатор LA31 - 6000 N - 24 V - 4,3A (ход-200мм)</t>
  </si>
  <si>
    <t>СР-01.00.001 Ось</t>
  </si>
  <si>
    <t>S M8-12\55\65 Анкер для высоких нагрузок</t>
  </si>
  <si>
    <t>ММЦМ.685631.151 Кабель соединительный дорожка - разгрузка</t>
  </si>
  <si>
    <t>ММЦМ.305435.067-02 Кабель питания системы разгрузки. Информационная наклейка.</t>
  </si>
  <si>
    <t>ММЦМ.301525.001-01 Жилет для поддержания пациента (размер детский)</t>
  </si>
  <si>
    <t>ММЦМ.305435.038-01 Жилет системы разгрузки (детский). Принадлежность.</t>
  </si>
  <si>
    <t>ММЦМ.301525.001-02 Жилет для поддержания пациента (размер подростковый)</t>
  </si>
  <si>
    <t>ММЦМ.305435.038-02 Жилет системы разгрузки (подростковый). Принадлежность.</t>
  </si>
  <si>
    <t>ММЦМ.301525.001-03 Жилет для поддержания пациента (размер взрослый 1)</t>
  </si>
  <si>
    <t>ММЦМ.305435.038-03 Жилет системы разгрузки (взрослый 1). Принадлежность</t>
  </si>
  <si>
    <t>ММЦМ.301525.001-04 Жилет для поддержания пациента (размер взрослый 2)</t>
  </si>
  <si>
    <t>ММЦМ.305435.038-04 Жилет системы разгрузки (взрослый 2). Принадлежность.</t>
  </si>
  <si>
    <t>ММЦМ.941146.902 Беговая дорожка серии "РеаТерра" мод. 22 км/ч, Без СР, комплекс</t>
  </si>
  <si>
    <t>ММЦМ.941146.905 Беговая дорожка серии "РеаТерра" мод. 22 км/ч, С СР, комплекс</t>
  </si>
  <si>
    <t>ММЦМ.941146.903 Беговая дорожка серии "РеаТерра" мод. 30 км/ч, Без СР, комплекс</t>
  </si>
  <si>
    <t>ММЦМ.941146.906 Беговая дорожка серии "РеаТерра" мод. 30 км/ч, С СР, комплекс</t>
  </si>
  <si>
    <t>ММЦМ.941146.907 Система нагрузочного тестирования для спортивной медицины с тредмилом и системой страховки от падения</t>
  </si>
  <si>
    <t>№</t>
  </si>
  <si>
    <t>Наименование</t>
  </si>
  <si>
    <t>FQ18-4ZK-S Розетка блочная FQ18-4ZK-S, 4p, 400В, 10А</t>
  </si>
  <si>
    <t>ММЦМ.483219.001 Модификация наконечников актуатора LA31-6000N24V-4.3A-LINAK</t>
  </si>
  <si>
    <t>ММЦМ.685631.141 Кабель соединительный оптический датчик А8 - система управления БД (Х2)</t>
  </si>
  <si>
    <t>ТУТ6/3 Трубка термоусаживаемая ТУТ6/3</t>
  </si>
  <si>
    <t>Болт M6х60 Din7985</t>
  </si>
  <si>
    <t xml:space="preserve">БД-01.05.00.100 Рампа
</t>
  </si>
  <si>
    <t>БД-01.05.00.200 Кронштейн</t>
  </si>
  <si>
    <t>K 0152.44008x20 Рукоятка звездообразная Din 6336</t>
  </si>
  <si>
    <t>ММЦМ.321211.002-01 Потребительская тара. Ящик №1.</t>
  </si>
  <si>
    <t>ММЦМ.321211.002-02 Потребительская тара. Ящик №2.</t>
  </si>
  <si>
    <t>ММЦМ.321211.002-03  Потребительская тара. Ящик №3.</t>
  </si>
  <si>
    <t>ММЦМ.941146.001 РЭ Руководство по эксплуатации</t>
  </si>
  <si>
    <t>Винт M3х8 Din 7985 - Zn</t>
  </si>
  <si>
    <t>Винт M4х8 Din 7985 - Zn</t>
  </si>
  <si>
    <t>Винт M4х20 Din 7985 - Zn</t>
  </si>
  <si>
    <t>Винт 10х45 Din 931 - Zn</t>
  </si>
  <si>
    <t>Винт 6х20 Din 933 - Zn</t>
  </si>
  <si>
    <t>Болт M6х30 Din 933 - CuZn</t>
  </si>
  <si>
    <t>Винт M3х8 Din 965 - Zn</t>
  </si>
  <si>
    <t>Винт M4х10 Din 965 - Zn</t>
  </si>
  <si>
    <t>Винт M3х10 Din 965 - Zn</t>
  </si>
  <si>
    <t>Радиатор ICK BGA 14х14х10</t>
  </si>
  <si>
    <t>Радиатор ICK BGA 14х14х6</t>
  </si>
  <si>
    <t>Радиатор ICK BGA 10х10х10</t>
  </si>
  <si>
    <t xml:space="preserve">Din-рейка оцинкованная-(130 мм)х1,0мм-КЭАЗ </t>
  </si>
  <si>
    <t>https://keaz.ru/catalog/sredstva-montaja-aksessuari-nku/aksessuari-dlya-nku/aksessuari-Din-reyki/234382</t>
  </si>
  <si>
    <t>Винт M6х30 Din 7985</t>
  </si>
  <si>
    <t>Verzle Din 985 - M4</t>
  </si>
  <si>
    <t>Гайка Din 985 - M6</t>
  </si>
  <si>
    <t>Verzle Din 985 - M10</t>
  </si>
  <si>
    <t>Гайка Din 934 M10</t>
  </si>
  <si>
    <t>Рукоятка звездообразная Din6336 K0152.24008</t>
  </si>
  <si>
    <t>Din6336 K0152.24008</t>
  </si>
  <si>
    <t>https://www.prombearing.ru/catalog/upornye-oDinarnye/f-6-12-m/</t>
  </si>
  <si>
    <t>Din-рейка</t>
  </si>
  <si>
    <t>Винт М5×16 Din 912</t>
  </si>
  <si>
    <t>Винт М3х6 Din7985</t>
  </si>
  <si>
    <t>Винт М3х8 Din7985</t>
  </si>
  <si>
    <t>Винт М3х10 Din7985</t>
  </si>
  <si>
    <t>Шайба М3 Din125A</t>
  </si>
  <si>
    <t>Шайба гроверная М3 Din127B</t>
  </si>
  <si>
    <t>Гайка М3 Din934</t>
  </si>
  <si>
    <t>Винт M5х16 Din 912 - Zn</t>
  </si>
  <si>
    <t>Винт M6х20 Din 912 - Zn</t>
  </si>
  <si>
    <t>Винт M8х30 Din 912 - Zn</t>
  </si>
  <si>
    <t>Винт M10х30 Din 912 - Zn</t>
  </si>
  <si>
    <t>Винт M5х16 Din 967</t>
  </si>
  <si>
    <t>Болт M10х65 Din 933</t>
  </si>
  <si>
    <t>Болт M10х60 Din 933</t>
  </si>
  <si>
    <t>Din6336 K0152.24008 Рукоятка звездообразная Din6336 K0152.24008</t>
  </si>
  <si>
    <t>БД-01.11.00.003 Din-рейка</t>
  </si>
  <si>
    <t>MB0603006-P3 Винт М3х6 Din7985</t>
  </si>
  <si>
    <t>MB0603008-P3 Винт М3х8 Din7985</t>
  </si>
  <si>
    <t>MB0603010-P3 Винт М3х10 Din7985</t>
  </si>
  <si>
    <t>MB1000003-P3 Шайба М3 Din125A</t>
  </si>
  <si>
    <t>Mb0700003-P3 Гайка М3 Din934</t>
  </si>
  <si>
    <t>234382 Din-рейка оцинкованная-(130 мм)х1,0мм-КЭАЗ</t>
  </si>
  <si>
    <t xml:space="preserve">Винт М4x10 Din 965 - Zn
</t>
  </si>
  <si>
    <t xml:space="preserve">Винт М8х85 Din 965 Z - Zn
</t>
  </si>
  <si>
    <t>Вилка блочная FQ18-4ZJ-S, 4p, 400 В, 10 А</t>
  </si>
  <si>
    <t>Шайба 3 Din 127 -Zn</t>
  </si>
  <si>
    <t>Шайба 3.2 Din 125 -Zn</t>
  </si>
  <si>
    <t>Болт М10х85 Din 931 -Zn</t>
  </si>
  <si>
    <t>Винт М10х30 Din 912 - Zn</t>
  </si>
  <si>
    <t>Винт М3x12 Din 7985 - Zn</t>
  </si>
  <si>
    <t>Винт М4×10 Din 912 - Zn</t>
  </si>
  <si>
    <t>Винт М3×6 Din 967 - Zn</t>
  </si>
  <si>
    <t>Винт М2×8 Din 7985 - Zn</t>
  </si>
  <si>
    <t>Пластиковая заглушка для трубы ДУ25, черная</t>
  </si>
  <si>
    <t>15ДУЧК</t>
  </si>
  <si>
    <t>Пластиковая заглушка для трубы ДУ15, черная, артикул 15ДУЧК</t>
  </si>
  <si>
    <t>RS-628FLLBRBT2, двухклавишный выключатель 8А, 2xON-ON 250В (B128B)</t>
  </si>
  <si>
    <t>Лазерный стоп сигнал (противотуманный фонарь) на авто Premium</t>
  </si>
  <si>
    <t>Провод заземления фильтр ЭМП (Е) - преобразователь частоты (Line (E))</t>
  </si>
  <si>
    <t>Провод заземления фильтр ЭМП (Е) - клемма проходная</t>
  </si>
  <si>
    <t>Жгут соединительный плата энкодера - энкодер оптический - преобразователь частоты</t>
  </si>
  <si>
    <t>Кабель соединительный контактор модульный (2,4) - фильтр ЭМП (L, N)</t>
  </si>
  <si>
    <t>Кабель соединительный преобразователь частоты (Line)- фильтр ЭМП (L', N')</t>
  </si>
  <si>
    <t>Кабель соединительный преобразователь частоты (Output)- мотор (М1)</t>
  </si>
  <si>
    <t>Винт М4х10 Din 965 - Zn</t>
  </si>
  <si>
    <t>Винт М4х8 Din 965 - Zn</t>
  </si>
  <si>
    <t>Винт М5х16 Din 965 - Zn</t>
  </si>
  <si>
    <t>Винт М4х6 Din 965 - Zn</t>
  </si>
  <si>
    <t>Винт М4х8 Din 967 - Zn</t>
  </si>
  <si>
    <t>Винт М5х12 Din 967 - Zn</t>
  </si>
  <si>
    <t>Винт М5х8 Din 7985 - Zn</t>
  </si>
  <si>
    <t>Гайка М4 Din 934 - Zn</t>
  </si>
  <si>
    <t>Гайка М5 Din 934 - Zn</t>
  </si>
  <si>
    <t>Втулка предохранительная резиновая 8-8 ГОСТ 19421-74</t>
  </si>
  <si>
    <t>Втулка предохранительная резиновая 10-8 ГОСТ 19421-74</t>
  </si>
  <si>
    <t>Площадка монтажная ПМО 15х10 (Fortisflex)</t>
  </si>
  <si>
    <t>Стойка 7мм Никель винт/отв М4 DA7M4x15</t>
  </si>
  <si>
    <t>Скоба металлическая двухлапковая СМД 8-9</t>
  </si>
  <si>
    <t>Решетка вентилятора металл K-MF08E4Ha, Jamicon</t>
  </si>
  <si>
    <t>PG(M)-13.5, Ввод кабельный металл., IP68</t>
  </si>
  <si>
    <t>Стяжка кабельная нейлоновая, неоткрываемая 200х5 мм (белая)</t>
  </si>
  <si>
    <t>Модификация наконечников трансформатора ТТП-100 230 В 24 В,100 Вт</t>
  </si>
  <si>
    <t>Блок питания 220 В - 24 В - 4,2 А - ECS100US24-B XPPower</t>
  </si>
  <si>
    <t>Винт М3х12 Din 7985 - Zn</t>
  </si>
  <si>
    <t>Винт М4х12 Din 965 - Zn</t>
  </si>
  <si>
    <t>Винт М3х12 Din 965 - Zn</t>
  </si>
  <si>
    <t>Винт М6х60 Din 967 - Zn</t>
  </si>
  <si>
    <t>Гайка М3 Din 934 - Zn</t>
  </si>
  <si>
    <t>Гайка М6 Din 934 - Zn</t>
  </si>
  <si>
    <t>PCHSN-10, Стойка для печатных плат 10mm М3, латунь, шестигранная</t>
  </si>
  <si>
    <t>Винт М4х12 Din 967 - Zn</t>
  </si>
  <si>
    <t>ММЦМ.685631.143 Кабель соединительный контактор модульный (1,3,А1)- Клеммы переходные</t>
  </si>
  <si>
    <t>ММЦМ.685611.044 Провод заземления фильтр ЭМП (Е) - преобразователь частоты (Line (E))</t>
  </si>
  <si>
    <t>ММЦМ.685611.045 Провод заземления фильтр ЭМП (Е) - клемма проходная</t>
  </si>
  <si>
    <t>ММЦМ.685621.033 Жгут соединительный плата энкодера - энкодер оптический - преобразователь частоты</t>
  </si>
  <si>
    <t>ММЦМ.685631.132 Кабель соединительный система управления БД (Х7) - преобразователь частоты</t>
  </si>
  <si>
    <t>ММЦМ.685631.136 Кабель соединительный контактор модульный (2,4) - фильтр ЭМП (L, N)</t>
  </si>
  <si>
    <t>ММЦМ.685631.137 Кабель соединительный система управления БД (Х5) - преобразователь частоты</t>
  </si>
  <si>
    <t>ММЦМ.685631.142 Кабель соединительный преобразователь частоты (Line)- фильтр ЭМП (L', N')</t>
  </si>
  <si>
    <t>ММЦМ.685631.146 Кабель соединительный преобразователь частоты (Output)- мотор (М1)</t>
  </si>
  <si>
    <t>ECS100US24-B Блок питания 220 В - 24 В - 4,2 А - ECS100US24-B XPPower</t>
  </si>
  <si>
    <t xml:space="preserve">Din 965 - Zn Винт М4x10 Din 965 - Zn
</t>
  </si>
  <si>
    <t xml:space="preserve">Din 965 Z - Zn Винт М8х85 Din 965 Z - Zn
</t>
  </si>
  <si>
    <t>ММЦМ.305111.033 Комплект регулируемых малых (детских) поручней для беговой дорожки без кронштейна для встроенного пульта управления</t>
  </si>
  <si>
    <t>ММЦМ.305111.034 Комплект регулируемых малых (детских) поручней для беговой дорожки с кронштейном для встроенного пульта управления</t>
  </si>
  <si>
    <t>БД-01.13.00.100 Стойка</t>
  </si>
  <si>
    <t>БД-01.13.00.200 Кронштейн</t>
  </si>
  <si>
    <t>ММЦМ.685631.150 Кабель лазерный нивелир БД</t>
  </si>
  <si>
    <t>БД-01.13.00.001 Корпус</t>
  </si>
  <si>
    <t>БД-01.13.00.002 Пластина</t>
  </si>
  <si>
    <t>15ДУЧК Пластиковая заглушка для трубы ДУ15, черная, артикул 15ДУЧК</t>
  </si>
  <si>
    <t>ММЦМ.671117.003 Модификация наконечников трансформатора ТТП-100 230 В 24 В,100 Вт</t>
  </si>
  <si>
    <t>FQ18-4ZJ-S Вилка блочная FQ18-4ZJ-S, 4p, 400 В, 10 А</t>
  </si>
  <si>
    <t>Клемма проходная WDU 2.5N - 1023700000, 500V, 32A, Коричневый</t>
  </si>
  <si>
    <t>Концевая пластина WAP WDU2.5N/4N</t>
  </si>
  <si>
    <t>Короб перфорированный RL75 15x18 серый QUADRO, 00670RL</t>
  </si>
  <si>
    <t>Перемычка WQV 2.5/3, 1053760000, 32A, Желтая</t>
  </si>
  <si>
    <t>Реле интерфейсное с
колодкой, 2ПК, 24В DC, RSB2A080BDS</t>
  </si>
  <si>
    <t>Торцевой упор ZBT003 BT/3</t>
  </si>
  <si>
    <t>Винт М4х10 Din 967 - Zn</t>
  </si>
  <si>
    <t>Болт М8х20 Din 933 - Zn</t>
  </si>
  <si>
    <t>Стойка PCHSN-10, М3, латунь</t>
  </si>
  <si>
    <t>Винт М3х6 Din 7985 - Zn</t>
  </si>
  <si>
    <t>Наконечник кабельный 15EDGK-3.81-02P-14-00A(H)</t>
  </si>
  <si>
    <t>ТУТнг-20/10 (КВТ) Черный</t>
  </si>
  <si>
    <t>Клемма кабельная НКИ-1.5-5 (КВТ)</t>
  </si>
  <si>
    <t>Наконечник кабельный НШВИ-1.5-8 (КВТ)</t>
  </si>
  <si>
    <t>Розетка кабельная Mini-SPOX 4 Circuits</t>
  </si>
  <si>
    <t>Наконечник кабельный НШВИ 1.5-5 (КВТ)</t>
  </si>
  <si>
    <t>НШВИ 1.5-5 (КВТ)</t>
  </si>
  <si>
    <t>Клемма кабельная НКИ-2.5-5 (КВТ)</t>
  </si>
  <si>
    <t>ПМЛ 6х10</t>
  </si>
  <si>
    <t>Провод ПВ-3 1 мм2 Черный</t>
  </si>
  <si>
    <t>ТУТнг-4/2 (КВТ) Черный</t>
  </si>
  <si>
    <t>Провод ПВ-3 1.5 мм2 Красный</t>
  </si>
  <si>
    <t>Провод ПВ-3 1.5 мм2 Синий</t>
  </si>
  <si>
    <t>Провод ПВ-3 0.5 мм2 Черный</t>
  </si>
  <si>
    <t>Кабель соединительный вилка блочная - клеммы проходные</t>
  </si>
  <si>
    <t>Разъем питания сетевой</t>
  </si>
  <si>
    <t>ТУТнг-16/8 (КВТ) Черный</t>
  </si>
  <si>
    <t>Вилка блочная FQ24-4ZJ-S, 3p, 400 В, 10 А</t>
  </si>
  <si>
    <t>1023700000 Клемма проходная WDU 2.5N - 1023700000, 500V, 32A, Коричневый</t>
  </si>
  <si>
    <t>1060000000 Концевая пластина WAP WDU2.5N/4N</t>
  </si>
  <si>
    <t>1053760000 Перемычка WQV 2.5/3, 1053760000, 32A, Желтая</t>
  </si>
  <si>
    <t>RSB2A080BDS Реле интерфейсное с
колодкой, 2ПК, 24В DC, RSB2A080BDS</t>
  </si>
  <si>
    <t>50375043 Розетка кабельная Mini-SPOX 4 Circuits</t>
  </si>
  <si>
    <t>НШВИ 1.5-5 (КВТ) Наконечник кабельный НШВИ 1.5-5 (КВТ)</t>
  </si>
  <si>
    <t>ММЦМ.685631.124 Кабель соединительный вилка блочная - клеммы проходные</t>
  </si>
  <si>
    <t>PCHSN-10 Стойка PCHSN-10, М3, латунь</t>
  </si>
  <si>
    <t>Провод ПВ-3 0.5 мм2 Желтый</t>
  </si>
  <si>
    <t>Провод ПВ-3 0.5 мм2 Синий</t>
  </si>
  <si>
    <t>Провод ПВ-3 0.5 мм2 Красный</t>
  </si>
  <si>
    <t>Провод ПВ-3 0.5 мм2 Коричневый</t>
  </si>
  <si>
    <t>Провод ПВ-3 1.5 мм2 Черный</t>
  </si>
  <si>
    <t>Провод ПВ-3 1.5 мм2 Коричневый</t>
  </si>
  <si>
    <t>Провод ПВ-3 1.5 мм2 Желтый</t>
  </si>
  <si>
    <t>ТУТнг-2/1 (КВТ) Черный</t>
  </si>
  <si>
    <t>ТУТнг-5/2,5 (КВТ) Черный</t>
  </si>
  <si>
    <t>Провод ПВ-3 0.5 мм3 Синий</t>
  </si>
  <si>
    <t>Провод ПВ-3 1.5 мм3 Синий</t>
  </si>
  <si>
    <t>Провод ПВ-3 1.5 мм4 Желтый</t>
  </si>
  <si>
    <t>Кнопка чтобы пересчитать общее количество одинаковых компонентов</t>
  </si>
  <si>
    <t>Вилка для монтажа на кабель FQ18-4TJ-10, 10А</t>
  </si>
  <si>
    <t>Розетка для монтажа на кабель FQ18-4TK-10, 10А</t>
  </si>
  <si>
    <t>Вилка для монтажа на кабель FQ18-5TJ-10, 10А</t>
  </si>
  <si>
    <t>FQ18-5TJ-10 Вилка для монтажа на кабель FQ18-5TJ-10, 10А</t>
  </si>
  <si>
    <t>НВИ-1.5-3  Наконечник кабельный НВИ 1.5-3 (КВТ)</t>
  </si>
  <si>
    <t>FQ18-4TJ-6 Вилка для монтажа на кабель FQ18-4TJ-10, 10А</t>
  </si>
  <si>
    <t>FQ18-4TK-6 Розетка для монтажа на кабель FQ18-4TK-10, 10А</t>
  </si>
  <si>
    <t>0.1-12 км/ч</t>
  </si>
  <si>
    <t>0.5-20 км/ч</t>
  </si>
  <si>
    <t>1-25 км/ч</t>
  </si>
  <si>
    <t>1-30 км/ч</t>
  </si>
  <si>
    <t>Без сист. Разгрузки</t>
  </si>
  <si>
    <t>С сист. Разгрузки</t>
  </si>
  <si>
    <t>Без сист. Страховки</t>
  </si>
  <si>
    <t>С сист. Страховки</t>
  </si>
  <si>
    <t>Стандарт</t>
  </si>
  <si>
    <t>Оптич. Датчики</t>
  </si>
  <si>
    <t>Сист. Адаптации Скорости</t>
  </si>
  <si>
    <t>не существует</t>
  </si>
  <si>
    <t>ММЦМ.941146.101 Беговая дорожка серии "РеаТерра" модификации 0,1-12 км / ч, без системы разгрузки</t>
  </si>
  <si>
    <t>ММЦМ.305111.001 БД-01.08.00.000 -Дуга без. фикс. Пор Передняя дуга безопасности для фиксированных 
поручней</t>
  </si>
  <si>
    <t>ММЦМ.305111.008 БД-01.07.00.000 - Дуга безопасности для рег. Пор Передняя дуга безопасности для регулируемых поручней</t>
  </si>
  <si>
    <t>ММЦМ.305165.001 БД-01.05.00.000 - Рампа (Пандус) Рампа для въезда инвалидной коляски</t>
  </si>
  <si>
    <t>ММЦМ.301319.001 БД-01.10.00.000 - Доп. регулируемые упоры Комплект дополнительных регулируемых упоров для 
рук</t>
  </si>
  <si>
    <t>ММЦМ.305111.035 БД-01.04.09.000 Дополнительная перемычка</t>
  </si>
  <si>
    <t>ММЦМ.305111.036 БД-01.04.08.000 Опора верёвочная</t>
  </si>
  <si>
    <t>ММЦМ.401213.001 Лазерный указатель</t>
  </si>
  <si>
    <t>ММЦМ.942819.001 БД-01.06.00.000 - Сиденье Сиденье для медицинского персонала</t>
  </si>
  <si>
    <t>ММЦМ.941146.111 Беговая дорожка серии "РеаТерра" мод. 10 км/ч, Без СР, с увел. углом подъема</t>
  </si>
  <si>
    <t>ММЦМ.941146.311 Беговая дорожка серии "РеаТерра" мод. 10 км/ч, Без СР, облегченное исполнение, с увел. углом подъема</t>
  </si>
  <si>
    <t>ММЦМ.941146.301 Беговая дорожка серии "РеаТерра" модификации 0,1-12 км / ч, с системой разгрузки</t>
  </si>
  <si>
    <t>ММЦМ.941146.908 Беговая дорожка серии "РеаТерра" мод. 0.1-12 км/ч, Без СР, с увел. шир. бегового полотна, комплекс</t>
  </si>
  <si>
    <t>ММЦМ.941146.102 Беговая дорожка серии "РеаТерра" модификации 0,1-12 км / ч, без системы разгрузки, с увеличенной шириной бегового полотна</t>
  </si>
  <si>
    <t>ММЦМ.941146.909 Беговая дорожка серии "РеаТерра" мод. 0.1-12 км/ч, С СР, с увел. шир. бегового полотна, комплекс</t>
  </si>
  <si>
    <t>ММЦМ.941146.302 Беговая дорожка серии "РеаТерра" модификации 0,1-12 км / ч, с системой разгрузки, с увеличенной шириной бегового полотна</t>
  </si>
  <si>
    <t>ММЦМ.941146.910 Беговая дорожка серии "РеаТерра" мод. 0.5-20 км/ч, Без СС, комплекс</t>
  </si>
  <si>
    <t>ММЦМ.941146.151 Беговая дорожка серии "РеаТерра" модификации 0,5-20 км / ч, без системы страховки</t>
  </si>
  <si>
    <t>ММЦМ.941146.911 Беговая дорожка серии "РеаТерра" мод. 0.5-20 км/ч, С СС, комплекс</t>
  </si>
  <si>
    <t>ММЦМ.941146.351 Беговая дорожка серии "РеаТерра" модификации 0,5-20 км / ч, с системой страховки</t>
  </si>
  <si>
    <t>ММЦМ.941146.912 Беговая дорожка серии "РеаТерра" мод. 1-25 км/ч, Без СС, комплекс</t>
  </si>
  <si>
    <t>ММЦМ.941146.202 Беговая дорожка серии "РеаТерра" модификации 1-25 км / ч, без системы страховки</t>
  </si>
  <si>
    <t>ММЦМ.941146.913 Беговая дорожка серии "РеаТерра" мод. 1-25 км/ч, С СС, комплекс</t>
  </si>
  <si>
    <t>ММЦМ.941146.402 Беговая дорожка серии "РеаТерра" модификации 1-25 км / ч, с системой страховки</t>
  </si>
  <si>
    <t>ММЦМ.941146.914 Беговая дорожка серии "РеаТерра" мод. 1-30 км/ч, Без СС, комплекс</t>
  </si>
  <si>
    <t>ММЦМ.941146.252 Беговая дорожка серии "РеаТерра" модификации 1-30 км / ч, без системы страховки</t>
  </si>
  <si>
    <t>ММЦМ.941146.915 Беговая дорожка серии "РеаТерра" мод. 1-30 км/ч, С СС, комплекс</t>
  </si>
  <si>
    <t>ММЦМ.941146.452 Беговая дорожка серии "РеаТерра" модификации 1-30 км / ч, с системой страховки</t>
  </si>
  <si>
    <t>ММЦМ.941146.916 Беговая дорожка серии "РеаТерра" мод. 1-30 км/ч, Без СС, с увел. длиной бегового полотна, комплекс</t>
  </si>
  <si>
    <t>ММЦМ.941146.253 Беговая дорожка серии "РеаТерра" модификации 1-30 км / ч, без системы страховки, с увеличенной длиной бегового полотна</t>
  </si>
  <si>
    <t>ММЦМ.941146.917 Беговая дорожка серии "РеаТерра" мод. 1-30 км/ч, С СС, с увел. длиной бегового полотна, комплекс</t>
  </si>
  <si>
    <t>ММЦМ.941146.453 Беговая дорожка серии "РеаТерра" модификации 1-30 км / ч, с системой страховки, с увеличенной длиной бегового полотна</t>
  </si>
  <si>
    <t>ММЦМ.941146.201 Беговая дорожка серии РеаТерра модификации 22 км / ч, без системы разгрузки</t>
  </si>
  <si>
    <t>ММЦМ.941146.401 Беговая дорожка серии РеаТерра модификации 22 км / ч, с системой разгрузки</t>
  </si>
  <si>
    <t>ММЦМ.941146.251 Беговая дорожка серии РеаТерра модификации 30 км / ч, без системы разгрузки</t>
  </si>
  <si>
    <t>ММЦМ.941146.451 Беговая дорожка серии РеаТерра модификации 30 км / ч, с системой разгрузки</t>
  </si>
  <si>
    <t>1.1</t>
  </si>
  <si>
    <t>1.3</t>
  </si>
  <si>
    <t>1.4</t>
  </si>
  <si>
    <t>1.6</t>
  </si>
  <si>
    <t>1.2</t>
  </si>
  <si>
    <t>1.5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</si>
  <si>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</si>
  <si>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</si>
  <si>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</si>
  <si>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</si>
  <si>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</si>
  <si>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</si>
  <si>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</si>
  <si>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</si>
  <si>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</si>
  <si>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</si>
  <si>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Комплектация ТУ</t>
  </si>
  <si>
    <t>1.17</t>
  </si>
  <si>
    <t>1.18</t>
  </si>
  <si>
    <t>1.19</t>
  </si>
  <si>
    <t>1.20</t>
  </si>
  <si>
    <t>1.21</t>
  </si>
  <si>
    <t>1.22</t>
  </si>
  <si>
    <t>1.24</t>
  </si>
  <si>
    <t>1.25</t>
  </si>
  <si>
    <t>1.26</t>
  </si>
  <si>
    <t>1.27</t>
  </si>
  <si>
    <t>1.28</t>
  </si>
  <si>
    <t>1.29</t>
  </si>
  <si>
    <t>2</t>
  </si>
  <si>
    <t>2.1</t>
  </si>
  <si>
    <t>2.10</t>
  </si>
  <si>
    <t>2.11</t>
  </si>
  <si>
    <t>2.12</t>
  </si>
  <si>
    <t>2.13</t>
  </si>
  <si>
    <t>2.14</t>
  </si>
  <si>
    <t>2.15</t>
  </si>
  <si>
    <t>3</t>
  </si>
  <si>
    <t>3.1</t>
  </si>
  <si>
    <t>4.1</t>
  </si>
  <si>
    <t>4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</si>
  <si>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</si>
  <si>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</si>
  <si>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</si>
  <si>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</si>
  <si>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</si>
  <si>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</si>
  <si>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</si>
  <si>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</si>
  <si>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</si>
  <si>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</si>
  <si>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</si>
  <si>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</si>
  <si>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</si>
  <si>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4.15</t>
  </si>
  <si>
    <t>5</t>
  </si>
  <si>
    <t>5.1</t>
  </si>
  <si>
    <t>5.2</t>
  </si>
  <si>
    <t>5.3</t>
  </si>
  <si>
    <t>5.11</t>
  </si>
  <si>
    <t>5.12</t>
  </si>
  <si>
    <t>6</t>
  </si>
  <si>
    <t>6.1</t>
  </si>
  <si>
    <t>7</t>
  </si>
  <si>
    <t>7.1</t>
  </si>
  <si>
    <t>7.30</t>
  </si>
  <si>
    <t>7.32</t>
  </si>
  <si>
    <t>8</t>
  </si>
  <si>
    <t>8.1</t>
  </si>
  <si>
    <t>9</t>
  </si>
  <si>
    <t>9.1</t>
  </si>
  <si>
    <t>10</t>
  </si>
  <si>
    <t>10.1</t>
  </si>
  <si>
    <t>11</t>
  </si>
  <si>
    <t>11.1</t>
  </si>
  <si>
    <t>12</t>
  </si>
  <si>
    <t>12.1</t>
  </si>
  <si>
    <r>
      <t xml:space="preserve">Голубой - что обновлено </t>
    </r>
    <r>
      <rPr>
        <b/>
        <sz val="11"/>
        <color rgb="FFFFFF00"/>
        <rFont val="Calibri"/>
        <family val="2"/>
        <charset val="204"/>
      </rPr>
      <t xml:space="preserve">Желтый - что добавить </t>
    </r>
    <r>
      <rPr>
        <b/>
        <sz val="11"/>
        <color rgb="FFFF0000"/>
        <rFont val="Calibri"/>
        <family val="2"/>
        <charset val="204"/>
      </rPr>
      <t>Красный - что не верно</t>
    </r>
  </si>
  <si>
    <t>13</t>
  </si>
  <si>
    <t>13.1</t>
  </si>
  <si>
    <t>14</t>
  </si>
  <si>
    <t>14.1</t>
  </si>
  <si>
    <t>15</t>
  </si>
  <si>
    <t>15.1</t>
  </si>
  <si>
    <t>16</t>
  </si>
  <si>
    <t>16.1</t>
  </si>
  <si>
    <t>0</t>
  </si>
  <si>
    <t>Система страховки</t>
  </si>
  <si>
    <t>Зарядное устройство</t>
  </si>
  <si>
    <t>Кабель зарядного устройства</t>
  </si>
  <si>
    <t>1.23</t>
  </si>
  <si>
    <t>1.30</t>
  </si>
  <si>
    <t>1.31</t>
  </si>
  <si>
    <t>9.30</t>
  </si>
  <si>
    <t>7.34</t>
  </si>
  <si>
    <t>7.33</t>
  </si>
  <si>
    <t>9.31</t>
  </si>
  <si>
    <t>9.32</t>
  </si>
  <si>
    <t>9.33</t>
  </si>
  <si>
    <t>9.34</t>
  </si>
  <si>
    <t>Наклейка</t>
  </si>
  <si>
    <t>Вилка для монтажа на кабель FQ24-4TJ-10, 10А</t>
  </si>
  <si>
    <t>Розетка для монтажа на кабель FQ24-4TK-10, 10А</t>
  </si>
  <si>
    <t>Кабель связи RJ-45/DB-9F (С внешней стресс системой, переходник)</t>
  </si>
  <si>
    <t>Стоймость</t>
  </si>
  <si>
    <t>62452 Площадка монтажная ПМО 15х10 (Fortisflex)</t>
  </si>
  <si>
    <t>62452 Крепление ПМО 15х10</t>
  </si>
  <si>
    <t>FQ24-4TK-12 Розетка для монтажа на кабель FQ24-4TK-10, 10А</t>
  </si>
  <si>
    <t>FQ24-4TJ-12 Вилка для монтажа на кабель FQ24-4TJ-10, 10А</t>
  </si>
  <si>
    <t>ММЦМ.434714.002 Зарядное устройство</t>
  </si>
  <si>
    <t>ММЦМ.685631.180 Кабель зарядного устройства</t>
  </si>
  <si>
    <t>ММЦМ.685631.161 Кабель связи RJ-45/DB-9F (С внешней стресс системой, переходник)</t>
  </si>
  <si>
    <t>ММЦМ.305111.041 Передняя дуга безопасности для регулируемых поручней для беговой дорожки модификации 0,1-12 км / ч, с увеличенной шириной бегового полотна</t>
  </si>
  <si>
    <t>ММЦМ.305111.042 Передняя дуга безопасности для фиксированных поручней для беговой дорожки модификации 0,1-12 км / ч, с увеличенной шириной бегового полотна</t>
  </si>
  <si>
    <t>ММЦМ.305165.005 Рампа для въезда инвалидной коляски для беговой дорожки модификации 0,1-12 км / ч, с увеличенной шириной бегового полотна</t>
  </si>
  <si>
    <t>ММЦМ.301319.005 Комплект дополнительных регулируемых упоров для рук для беговой дорожки модификации 0,1-12 км / ч, с увеличенной шириной бегового полотна</t>
  </si>
  <si>
    <t>ММЦМ.305111.037 Дополнительная перемычка для беговой дорожки модификации 0,1-12 км / ч, с увеличенной шириной бегового полотна</t>
  </si>
  <si>
    <t>ММЦМ.305111.038 Опора верёвочная для беговой дорожки модификации 0,1-12 км / ч, с увеличенной шириной бегового полотна</t>
  </si>
  <si>
    <t>ММЦМ.303359.003 Система страховки</t>
  </si>
  <si>
    <t>ММЦМ.301525.002-01 Жилет системы страховки для поддержания пациента (размер детский)</t>
  </si>
  <si>
    <t>ММЦМ.301525.002-02 Жилет системы страховки для поддержания пациента (размер подростковый)</t>
  </si>
  <si>
    <t>ММЦМ.301525.002-03 Жилет системы страховки для поддержания пациента (размер взрослый 1)</t>
  </si>
  <si>
    <t>ММЦМ.301525.002-04 Жилет системы страховки для поддержания пациента (размер взрослый 2)</t>
  </si>
  <si>
    <t>ММЦМ.305111.043 Комплект фиксированных больших поручней без кронштейна для встроенного пульта управления для беговой дорожки модификации 1-25 км / ч</t>
  </si>
  <si>
    <t>ММЦМ.305111.044 Комплект фиксированных малых поручней без кронштейна для встроенного пульта управления для беговой дорожки модификации 1-25 км / ч</t>
  </si>
  <si>
    <t>ММЦМ.305111.045 Комплект регулируемых поручней без кронштейна для встроенного пульта управления для беговой дорожки модификации 1-25 км / ч</t>
  </si>
  <si>
    <t>ММЦМ.305111.046 Комплект регулируемых малых (детских) поручней без кронштейна для встроенного пульта управления для беговой дорожки модификации 1-25 км / ч</t>
  </si>
  <si>
    <t>ММЦМ.305111.047 Комплект фиксированных больших поручней с кронштейном для встроенного пульта управления для беговой дорожки модификации 1-25 км / ч</t>
  </si>
  <si>
    <t>ММЦМ.305111.048 Комплект фиксированных малых поручней с кронштейном для встроенного пульта управления для беговой дорожки модификации 1-25 км / ч</t>
  </si>
  <si>
    <t>ММЦМ.305111.049 Комплект регулируемых поручней с кронштейном для встроенного пульта управления для беговой дорожки модификации 1-25 км / ч</t>
  </si>
  <si>
    <t>ММЦМ.305111.050 Комплект регулируемых малых (детских) поручней с кронштейном для встроенного пульта управления для беговой дорожки модификации 1-25 км / ч</t>
  </si>
  <si>
    <t>ММЦМ.305111.051 Передняя дуга безопасности для регулируемых поручней для беговой дорожки модификации 1-25 км / ч</t>
  </si>
  <si>
    <t>ММЦМ.305111.052 Передняя дуга безопасности для фиксированных поручней для беговой дорожки модификации 1-25 км / ч</t>
  </si>
  <si>
    <t>ММЦМ.305165.010 Рампа для въезда инвалидной коляски для беговой дорожки модификации 1-25 км / ч</t>
  </si>
  <si>
    <t>ММЦМ.301319.010 Комплект дополнительных регулируемых упоров для рук для беговой дорожки модификации 1-25 км / ч</t>
  </si>
  <si>
    <t>ММЦМ.305111.039 Дополнительная перемычка для беговой дорожки модификации 1-25 км / ч</t>
  </si>
  <si>
    <t>ММЦМ.305111.040 Опора верёвочная для беговой дорожки модификации 1-25 км / ч</t>
  </si>
  <si>
    <t>ММЦМ.305111.053 Комплект коротких поручней без кронштейна для встроенного пульта управления для беговой дорожки модификации 1-30 км / ч</t>
  </si>
  <si>
    <t>ММЦМ.305111.054 Комплект коротких поручней с кронштейном для встроенного пульта управления для беговой дорожки модификации 1-30 км / ч</t>
  </si>
  <si>
    <t>ММЦМ.685631.178 Кабель питания для беговой дорожки модификации 1-30 км / ч</t>
  </si>
  <si>
    <t>ММЦМ.685631.179 Кабель сетевой для беговой дорожки модификации 1-30 км / ч</t>
  </si>
  <si>
    <t>Фрезеровка</t>
  </si>
  <si>
    <t xml:space="preserve">Тип TDTD (т.к. Необходим выбор датчика NPN типа Dark ON (открытый коллектор) При пересечении луча транзистор открывается. 
Возможные ситуации при этом:
- 1 Обрыв питания датчика 24В - закрывается выходной транзистор, плата подтягивает выход к питанию, выводит сообщение о заступе.
- 2 КЗ питания датчика на землю - срабатывание преда на плате, далее как 1.
- 3 Обрыв выхода датчика - плата подтягивает выход к питанию, выводит сообщение о заступе.
- 4 КЗ выхода датчика на землю - не возможно отследить, будет считаться нормальным режимом без заступа.
- 5 Обрыв земли датчика - закрывается выходной транзистор, плата подтягивает выход к питанию, выводит сообщение о заступе.
Возможные ситуации при выборе датчика Light ON:
- 1 Обрыв питания датчика 24В - не возможно отследить, будет считаться нормальным режимом без заступа.
- 2 КЗ питания датчика на землю - не возможно отследить, будет считаться нормальным режимом без заступа.
- 3 Обрыв выхода датчика - не возможно отследить, будет считаться нормальным режимом без заступа.
- 4 КЗ выхода датчика на землю - выводит сообщение о заступе.
- 5 Обрыв земли датчика - не возможно отследить, будет считаться нормальным режимом без заступа. </t>
  </si>
  <si>
    <t>Подходящие замены: M101NWW4 R0; M101NWW4 R2; B101EVN02.0; B101EVN02.1; B101EW05 V.0; HSD101PWW1-H00; HSD101PWW1-G00; HSD101PWW1-G10; LP101WX1(SL)(N2)</t>
  </si>
  <si>
    <t>База изделия</t>
  </si>
  <si>
    <t>Шкив привода изделия ведущий</t>
  </si>
  <si>
    <t>Кабель питания и клемма заземления изделия. Информационная наклейка</t>
  </si>
  <si>
    <t>Комплект фиксированных больших поручней для изделия без кронштейна для встроенного пульта управления</t>
  </si>
  <si>
    <t>Комплект фиксированных больших поручней для изделия без кронштейна для встроенного пульта управления (исполнение без подготовки под модуль СМ ЧСС)</t>
  </si>
  <si>
    <t>Комплект фиксированных малых поручней для изделия без кронштейна для встроенного пульта управления</t>
  </si>
  <si>
    <t>Комплект фиксированных малых поручней для изделия без кронштейна для встроенного пульта управления (исполнение без подготовки под модуль СМ ЧСС)</t>
  </si>
  <si>
    <t>Комплект регулируемых поручней для изделия без кронштейна для встроенного пульта управления</t>
  </si>
  <si>
    <t>Комплект регулируемых поручней для изделия без кронштейна для встроенного пульта управления (исполнение без подготовки под модуль СМ ЧСС)</t>
  </si>
  <si>
    <t>Комплект регулируемых малых (детских) поручней для изделия без кронштейна для встроенного пульта управления</t>
  </si>
  <si>
    <t>Комплект фиксированных больших поручней для изделия с кронштейном для встроенного пульта управления</t>
  </si>
  <si>
    <t>Комплект фиксированных больших поручней для изделия  с кронштейном для встроенного пульта управления (исполнение без подготовки под модуль СМ ЧСС)</t>
  </si>
  <si>
    <t>Комплект фиксированных малых поручней для изделия с кронштейном для встроенного пульта управления</t>
  </si>
  <si>
    <t>Комплект фиксированных малых поручней для изделия с кронштейном для встроенного пульта управления (исполнение без подготовки под модуль СМ ЧСС)</t>
  </si>
  <si>
    <t>Комплект регулируемых поручней для изделия с кронштейном для встроенного пульта управления</t>
  </si>
  <si>
    <t>Комплект регулируемых поручней для изделия с кронштейном для встроенного пульта управления (исполнение без подготовки под модуль СМ ЧСС)</t>
  </si>
  <si>
    <t>Комплект регулируемых малых (детских) поручней для изделия с кронштейном для встроенного пульта управления</t>
  </si>
  <si>
    <t>Сетевой разъем изделия 2.5 кВА. Информационная наклейка.</t>
  </si>
  <si>
    <t>Кабель питания изделия. Информационная наклейка.</t>
  </si>
  <si>
    <t>Комплект фиксированных больших поручней без кронштейна для встроенного пульта управления для изделия модификации 1-25 км / ч</t>
  </si>
  <si>
    <t>Комплект фиксированных малых поручней без кронштейна для встроенного пульта управления для изделия модификации 1-25 км / ч</t>
  </si>
  <si>
    <t>Комплект регулируемых поручней без кронштейна для встроенного пульта управления для изделия модификации 1-25 км / ч</t>
  </si>
  <si>
    <t>Комплект регулируемых малых (детских) поручней без кронштейна для встроенного пульта управления для изделия модификации 1-25 км / ч</t>
  </si>
  <si>
    <t>Комплект фиксированных больших поручней с кронштейном для встроенного пульта управления для изделия модификации 1-25 км / ч</t>
  </si>
  <si>
    <t>Комплект фиксированных малых поручней с кронштейном для встроенного пульта управления для изделия модификации 1-25 км / ч</t>
  </si>
  <si>
    <t>Комплект регулируемых поручней с кронштейном для встроенного пульта управления для изделия модификации 1-25 км / ч</t>
  </si>
  <si>
    <t>Комплект регулируемых малых (детских) поручней с кронштейном для встроенного пульта управления для изделия модификации 1-25 км / ч</t>
  </si>
  <si>
    <t>Передняя дуга безопасности для регулируемых поручней для изделия модификации 1-25 км / ч</t>
  </si>
  <si>
    <t>Передняя дуга безопасности для фиксированных поручней для изделия модификации 1-25 км / ч</t>
  </si>
  <si>
    <t>Рампа для въезда инвалидной коляски для изделия модификации 1-25 км / ч</t>
  </si>
  <si>
    <t>Комплект дополнительных регулируемых упоров для рук для изделия модификации 1-25 км / ч</t>
  </si>
  <si>
    <t>Дополнительная перемычка для изделия модификации 1-25 км / ч</t>
  </si>
  <si>
    <t>Опора верёвочная для изделия модификации 1-25 км / ч</t>
  </si>
  <si>
    <t>Комплект коротких поручней без кронштейна для встроенного пульта управления для изделия модификации 1-30 км / ч</t>
  </si>
  <si>
    <t>Комплект коротких поручней с кронштейном для встроенного пульта управления для изделия модификации 1-30 км / ч</t>
  </si>
  <si>
    <t>Кабель питания для изделия модификации 1-30 км / ч</t>
  </si>
  <si>
    <t>Кабель сетевой для изделия модификации 1-30 км / ч</t>
  </si>
  <si>
    <t>Комплект оптических датчиков заступа за край  полотна</t>
  </si>
  <si>
    <t>Система адаптации скорости (САС)  полотна</t>
  </si>
  <si>
    <t>Передняя дуга безопасности для регулируемых поручней для изделия модификации 0,1-12 км / ч, с увеличенной шириной  полотна</t>
  </si>
  <si>
    <t>Передняя дуга безопасности для фиксированных поручней для изделия модификации 0,1-12 км / ч, с увеличенной шириной  полотна</t>
  </si>
  <si>
    <t>Рампа для въезда инвалидной коляски для изделия модификации 0,1-12 км / ч, с увеличенной шириной  полотна</t>
  </si>
  <si>
    <t>Комплект дополнительных регулируемых упоров для рук для изделия модификации 0,1-12 км / ч, с увеличенной шириной  полотна</t>
  </si>
  <si>
    <t>Дополнительная перемычка для изделия модификации 0,1-12 км / ч, с увеличенной шириной  полотна</t>
  </si>
  <si>
    <t>Опора верёвочная для изделия модификации 0,1-12 км / ч, с увеличенной шириной  полотна</t>
  </si>
  <si>
    <t>изделие серии "Пусто" мод. 0.1-12 км/ч, Без СР, комплекс</t>
  </si>
  <si>
    <t>изделие серии "Пусто" модификации 0,1-12 км / ч, без системы разгрузки</t>
  </si>
  <si>
    <t>изделие серии «Пусто», модификация по скорости 10 км / ч, без системы разгрузки. Информационная наклейка</t>
  </si>
  <si>
    <t>изделие серии "Пусто" мод. 10 км/ч, Без СР, с увел. углом подъема</t>
  </si>
  <si>
    <t>изделие серии "Пусто" мод. 10 км/ч, Без СР, облегченное исполнение, с увел. углом подъема</t>
  </si>
  <si>
    <t>изделие серии "Пусто" мод. 0.1-12 км/ч, С СР, комплекс</t>
  </si>
  <si>
    <t>изделие серии "Пусто" модификации 0,1-12 км / ч, с системой разгрузки</t>
  </si>
  <si>
    <t>изделие серии «Пусто», модификация по скорости 10 км / ч, с системой разгрузки. Информационная наклейка</t>
  </si>
  <si>
    <t>изделие серии "Пусто" мод. 0.1-12 км/ч, Без СР, с увел. шир.  полотна, комплекс</t>
  </si>
  <si>
    <t>изделие серии "Пусто" модификации 0,1-12 км / ч, без системы разгрузки, с увеличенной шириной  полотна</t>
  </si>
  <si>
    <t>изделие серии "Пусто" мод. 0.1-12 км/ч, С СР, с увел. шир.  полотна, комплекс</t>
  </si>
  <si>
    <t>изделие серии "Пусто" модификации 0,1-12 км / ч, с системой разгрузки, с увеличенной шириной  полотна</t>
  </si>
  <si>
    <t>изделие серии "Пусто" мод. 0.5-20 км/ч, Без СС, комплекс</t>
  </si>
  <si>
    <t>изделие серии "Пусто" модификации 0,5-20 км / ч, без системы страховки</t>
  </si>
  <si>
    <t>изделие серии "Пусто" мод. 0.5-20 км/ч, С СС, комплекс</t>
  </si>
  <si>
    <t>изделие серии "Пусто" модификации 0,5-20 км / ч, с системой страховки</t>
  </si>
  <si>
    <t>изделие серии "Пусто" мод. 1-25 км/ч, Без СС, комплекс</t>
  </si>
  <si>
    <t>изделие серии "Пусто" модификации 1-25 км / ч, без системы страховки</t>
  </si>
  <si>
    <t>изделие серии "Пусто" мод. 1-25 км/ч, С СС, комплекс</t>
  </si>
  <si>
    <t>изделие серии "Пусто" модификации 1-25 км / ч, с системой страховки</t>
  </si>
  <si>
    <t>изделие серии "Пусто" мод. 1-30 км/ч, Без СС, комплекс</t>
  </si>
  <si>
    <t>изделие серии "Пусто" модификации 1-30 км / ч, без системы страховки</t>
  </si>
  <si>
    <t>изделие серии "Пусто" мод. 1-30 км/ч, С СС, комплекс</t>
  </si>
  <si>
    <t>изделие серии "Пусто" модификации 1-30 км / ч, с системой страховки</t>
  </si>
  <si>
    <t>изделие серии "Пусто" мод. 1-30 км/ч, Без СС, с увел. длиной  полотна, комплекс</t>
  </si>
  <si>
    <t>изделие серии "Пусто" модификации 1-30 км / ч, без системы страховки, с увеличенной длиной  полотна</t>
  </si>
  <si>
    <t>изделие серии "Пусто" мод. 1-30 км/ч, С СС, с увел. длиной  полотна, комплекс</t>
  </si>
  <si>
    <t>изделие серии "Пусто" модификации 1-30 км / ч, с системой страховки, с увеличенной длиной  полотна</t>
  </si>
  <si>
    <t>изделие серии "Пусто" мод. 22 км/ч, Без СР, комплекс</t>
  </si>
  <si>
    <t>изделие серии Пусто модификации 22 км / ч, без системы разгрузки</t>
  </si>
  <si>
    <t>изделие серии "Пусто" мод. 22 км/ч, С СР, комплекс</t>
  </si>
  <si>
    <t>изделие серии Пусто модификации 22 км / ч, с системой разгрузки</t>
  </si>
  <si>
    <t>изделие серии "Пусто" мод. 30 км/ч, Без СР, комплекс</t>
  </si>
  <si>
    <t>изделие серии Пусто модификации 30 км / ч, без системы разгрузки</t>
  </si>
  <si>
    <t>изделие серии "Пусто" мод. 30 км/ч, С СР, комплекс</t>
  </si>
  <si>
    <t>изделие серии Пусто модификации 30 км / ч, с системой разгрузки</t>
  </si>
  <si>
    <t>Кабель соединительный Пусто - разгрузка</t>
  </si>
  <si>
    <t>Жилет для поддержания  (размер детский)</t>
  </si>
  <si>
    <t>Жилет для поддержания  (размер подростковый)</t>
  </si>
  <si>
    <t>Жилет для поддержания  (размер взрослый 1)</t>
  </si>
  <si>
    <t>Жилет для поддержания  (размер взрослый 2)</t>
  </si>
  <si>
    <t>Жилет системы страховки для поддержания  (размер детский)</t>
  </si>
  <si>
    <t>Жилет системы страховки для поддержания  (размер подростковый)</t>
  </si>
  <si>
    <t>Жилет системы страховки для поддержания  (размер взрослый 1)</t>
  </si>
  <si>
    <t>Жилет системы страховки для поддержания  (размер взрослый 2)</t>
  </si>
  <si>
    <t>с увелич. Шириной полотна</t>
  </si>
  <si>
    <t>с увелич. Длиной полотна</t>
  </si>
  <si>
    <t>АЕЖР.941146.001</t>
  </si>
  <si>
    <t>АЕЖР.941146.901</t>
  </si>
  <si>
    <t>АЕЖР.941146.101</t>
  </si>
  <si>
    <t>АЕЖР.435221.004</t>
  </si>
  <si>
    <t>АЕЖР.685611.046</t>
  </si>
  <si>
    <t>АЕЖР.685611.047</t>
  </si>
  <si>
    <t>АЕЖР.685631.143</t>
  </si>
  <si>
    <t>АЕЖР.525411.001</t>
  </si>
  <si>
    <t>АЕЖР.685631.129</t>
  </si>
  <si>
    <t>АЕЖР.723356.001</t>
  </si>
  <si>
    <t>АЕЖР.525411.002</t>
  </si>
  <si>
    <t>АЕЖР.435221.002</t>
  </si>
  <si>
    <t>АЕЖР.685611.044</t>
  </si>
  <si>
    <t>АЕЖР.685611.045</t>
  </si>
  <si>
    <t>АЕЖР.685621.033</t>
  </si>
  <si>
    <t>АЕЖР.685631.132</t>
  </si>
  <si>
    <t>АЕЖР.685631.136</t>
  </si>
  <si>
    <t>АЕЖР.685631.137</t>
  </si>
  <si>
    <t>АЕЖР.685631.142</t>
  </si>
  <si>
    <t>АЕЖР.685631.146</t>
  </si>
  <si>
    <t>АЕЖР.435221.003</t>
  </si>
  <si>
    <t>АЕЖР.468367.501-03</t>
  </si>
  <si>
    <t>АЕЖР.687253.020-2.12 ПО</t>
  </si>
  <si>
    <t>АЕЖР.687253.020</t>
  </si>
  <si>
    <t>АЕЖР.468157.501</t>
  </si>
  <si>
    <t>АЕЖР.468157.001-03</t>
  </si>
  <si>
    <t>АЕЖР.687252.009-03</t>
  </si>
  <si>
    <t>АЕЖР.685631.124</t>
  </si>
  <si>
    <t>АЕЖР.685631.125</t>
  </si>
  <si>
    <t>АЕЖР.685621.032</t>
  </si>
  <si>
    <t>АЕЖР.685631.133</t>
  </si>
  <si>
    <t>АЕЖР.685631.135</t>
  </si>
  <si>
    <t>АЕЖР.685631.138</t>
  </si>
  <si>
    <t>АЕЖР.685631.139</t>
  </si>
  <si>
    <t>АЕЖР.685621.034</t>
  </si>
  <si>
    <t>АЕЖР.685631.140</t>
  </si>
  <si>
    <t>АЕЖР.685611.048</t>
  </si>
  <si>
    <t>АЕЖР.685611.049</t>
  </si>
  <si>
    <t>АЕЖР.685611.050</t>
  </si>
  <si>
    <t>АЕЖР.483219.001</t>
  </si>
  <si>
    <t>АЕЖР.685631.126</t>
  </si>
  <si>
    <t>АЕЖР.685631.127</t>
  </si>
  <si>
    <t>АЕЖР.685631.128</t>
  </si>
  <si>
    <t>АЕЖР.685631.130</t>
  </si>
  <si>
    <t>АЕЖР.685631.131</t>
  </si>
  <si>
    <t>АЕЖР.305435.007-12</t>
  </si>
  <si>
    <t>АЕЖР.305435.007-13</t>
  </si>
  <si>
    <t>АЕЖР.305435.007-10</t>
  </si>
  <si>
    <t>АЕЖР.305435.030-02</t>
  </si>
  <si>
    <t>АЕЖР.402254.510</t>
  </si>
  <si>
    <t>АЕЖР.685631.141</t>
  </si>
  <si>
    <t>АЕЖР.685631.144</t>
  </si>
  <si>
    <t>АЕЖР.685631.145</t>
  </si>
  <si>
    <t>АЕЖР.421455.001</t>
  </si>
  <si>
    <t>АЕЖР.422411.001</t>
  </si>
  <si>
    <t>АЕЖР.301412.001</t>
  </si>
  <si>
    <t>АЕЖР.303659.001</t>
  </si>
  <si>
    <t>АЕЖР.305435.041</t>
  </si>
  <si>
    <t>АЕЖР.685631.149</t>
  </si>
  <si>
    <t>АЕЖР.431294.001 СБ и СП</t>
  </si>
  <si>
    <t>АЕЖР.468366.001</t>
  </si>
  <si>
    <t>АЕЖР.687254.006-01</t>
  </si>
  <si>
    <t>АЕЖР.563511.001 СБ и СП</t>
  </si>
  <si>
    <t>АЕЖР.685631.160 СБ и СП</t>
  </si>
  <si>
    <t>АЕЖР.687242.002</t>
  </si>
  <si>
    <t>АЕЖР.757883.001 СБ и СП</t>
  </si>
  <si>
    <t>АЕЖР.943119.007 СБ и СП</t>
  </si>
  <si>
    <t>АЕЖР.305435.053</t>
  </si>
  <si>
    <t>АЕЖР.305435.058</t>
  </si>
  <si>
    <t>АЕЖР.305435.059</t>
  </si>
  <si>
    <t>АЕЖР.305111.002</t>
  </si>
  <si>
    <t>АЕЖР.305111.009</t>
  </si>
  <si>
    <t>АЕЖР.305435.031-02</t>
  </si>
  <si>
    <t>АЕЖР.305111.021-01</t>
  </si>
  <si>
    <t>АЕЖР.305435.031-01</t>
  </si>
  <si>
    <t>АЕЖР.305111.003</t>
  </si>
  <si>
    <t>АЕЖР.305111.011</t>
  </si>
  <si>
    <t>АЕЖР.305435.032-02</t>
  </si>
  <si>
    <t>АЕЖР.305111.022-01</t>
  </si>
  <si>
    <t>АЕЖР.305435.032-01</t>
  </si>
  <si>
    <t>АЕЖР.305111.004</t>
  </si>
  <si>
    <t>АЕЖР.305111.013</t>
  </si>
  <si>
    <t>АЕЖР.305435.033-02</t>
  </si>
  <si>
    <t>АЕЖР.305111.023-01</t>
  </si>
  <si>
    <t>АЕЖР.305435.033-01</t>
  </si>
  <si>
    <t>АЕЖР.305111.033</t>
  </si>
  <si>
    <t>АЕЖР.305111.005</t>
  </si>
  <si>
    <t>АЕЖР.305111.015</t>
  </si>
  <si>
    <t>АЕЖР.305435.031-04</t>
  </si>
  <si>
    <t>АЕЖР.305111.021-02</t>
  </si>
  <si>
    <t xml:space="preserve">АЕЖР.685631.148 </t>
  </si>
  <si>
    <t>АЕЖР.305435.067-01</t>
  </si>
  <si>
    <t>АЕЖР.305435.031-05</t>
  </si>
  <si>
    <t>АЕЖР.305111.006</t>
  </si>
  <si>
    <t>АЕЖР.305111.017</t>
  </si>
  <si>
    <t>АЕЖР.305435.032-04</t>
  </si>
  <si>
    <t>АЕЖР.305111.031</t>
  </si>
  <si>
    <t>АЕЖР.685631.148</t>
  </si>
  <si>
    <t>АЕЖР.305435.032-05</t>
  </si>
  <si>
    <t>АЕЖР.305111.007</t>
  </si>
  <si>
    <t>АЕЖР.305111.019</t>
  </si>
  <si>
    <t>АЕЖР.305435.033-04</t>
  </si>
  <si>
    <t>АЕЖР.305111.032</t>
  </si>
  <si>
    <t>АЕЖР.305435.033-05</t>
  </si>
  <si>
    <t>АЕЖР.305111.034</t>
  </si>
  <si>
    <t>АЕЖР.305435.034-01</t>
  </si>
  <si>
    <t>АЕЖР.305435.034-02</t>
  </si>
  <si>
    <t>АЕЖР.305435.035</t>
  </si>
  <si>
    <t>АЕЖР.305435.036-02</t>
  </si>
  <si>
    <t>АЕЖР.305435.036-01</t>
  </si>
  <si>
    <t>АЕЖР.436228.002</t>
  </si>
  <si>
    <t>АЕЖР.436222.001-01</t>
  </si>
  <si>
    <t>АЕЖР.687253.013-01</t>
  </si>
  <si>
    <t>АЕЖР.671117.002</t>
  </si>
  <si>
    <t>АЕЖР.685611.042</t>
  </si>
  <si>
    <t>АЕЖР.685611.043</t>
  </si>
  <si>
    <t>АЕЖР.685621.030</t>
  </si>
  <si>
    <t>АЕЖР.685621.031</t>
  </si>
  <si>
    <t>АЕЖР.685631.122</t>
  </si>
  <si>
    <t>АЕЖР.685631.123</t>
  </si>
  <si>
    <t>АЕЖР.305435.008-07</t>
  </si>
  <si>
    <t>АЕЖР.305435.008-05</t>
  </si>
  <si>
    <t>АЕЖР.305435.009-03</t>
  </si>
  <si>
    <t>АЕЖР.305435.008-06</t>
  </si>
  <si>
    <t>АЕЖР.305435.067-04</t>
  </si>
  <si>
    <t>АЕЖР.685631.147</t>
  </si>
  <si>
    <t>АЕЖР.305435.067-03</t>
  </si>
  <si>
    <t>АЕЖР.401213.001</t>
  </si>
  <si>
    <t>АЕЖР.685631.150</t>
  </si>
  <si>
    <t>АЕЖР.321211.002-01</t>
  </si>
  <si>
    <t>АЕЖР.321211.002-02</t>
  </si>
  <si>
    <t xml:space="preserve">АЕЖР.321211.002-03 </t>
  </si>
  <si>
    <t>АЕЖР.305435.037</t>
  </si>
  <si>
    <t>АЕЖР.422419.004</t>
  </si>
  <si>
    <t>АЕЖР.434714.002</t>
  </si>
  <si>
    <t>АЕЖР.685631.180</t>
  </si>
  <si>
    <t>АЕЖР.685631.161</t>
  </si>
  <si>
    <t>АЕЖР.941146.001 ПС</t>
  </si>
  <si>
    <t>АЕЖР.941146.001 РЭ</t>
  </si>
  <si>
    <t>АЕЖР.941146.111</t>
  </si>
  <si>
    <t>АЕЖР.941146.311</t>
  </si>
  <si>
    <t>АЕЖР.941146.904</t>
  </si>
  <si>
    <t>АЕЖР.941146.301</t>
  </si>
  <si>
    <t>В нее входит все, что в АЕЖР.941146.101 + все, что в АЕЖР.941146.301. 301 а не 302 потому что нельзя поправить в ТУ</t>
  </si>
  <si>
    <t>АЕЖР.685631.134</t>
  </si>
  <si>
    <t>АЕЖР.305435.007-11</t>
  </si>
  <si>
    <t>АЕЖР.435221.003-01</t>
  </si>
  <si>
    <t>АЕЖР.671117.003</t>
  </si>
  <si>
    <t>АЕЖР.468367.026</t>
  </si>
  <si>
    <t>АЕЖР.301415.100</t>
  </si>
  <si>
    <t>АЕЖР.687253.026-01</t>
  </si>
  <si>
    <t>АЕЖР.422411.005</t>
  </si>
  <si>
    <t>АЕЖР.301412.002</t>
  </si>
  <si>
    <t>АЕЖР.422411.006</t>
  </si>
  <si>
    <t>АЕЖР.303359.002</t>
  </si>
  <si>
    <t>АЕЖР.305435.011-02</t>
  </si>
  <si>
    <t>АЕЖР.301525.001-01</t>
  </si>
  <si>
    <t>АЕЖР.305435.038-01</t>
  </si>
  <si>
    <t>АЕЖР.301525.001-02</t>
  </si>
  <si>
    <t>АЕЖР.305435.038-02</t>
  </si>
  <si>
    <t>АЕЖР.301525.001-03</t>
  </si>
  <si>
    <t>АЕЖР.305435.038-03</t>
  </si>
  <si>
    <t>АЕЖР.301525.001-04</t>
  </si>
  <si>
    <t>АЕЖР.305435.038-04</t>
  </si>
  <si>
    <t>АЕЖР.685631.151</t>
  </si>
  <si>
    <t>АЕЖР.305435.067-02</t>
  </si>
  <si>
    <t>АЕЖР.941146.908</t>
  </si>
  <si>
    <t>АЕЖР.941146.102</t>
  </si>
  <si>
    <t>АЕЖР.305111.041</t>
  </si>
  <si>
    <t>АЕЖР.305111.042</t>
  </si>
  <si>
    <t>АЕЖР.305165.005</t>
  </si>
  <si>
    <t>АЕЖР.301319.005</t>
  </si>
  <si>
    <t>АЕЖР.305111.037</t>
  </si>
  <si>
    <t>АЕЖР.305111.038</t>
  </si>
  <si>
    <t>АЕЖР.941146.909</t>
  </si>
  <si>
    <t>АЕЖР.941146.302</t>
  </si>
  <si>
    <t>АЕЖР.941146.910</t>
  </si>
  <si>
    <t>АЕЖР.941146.151</t>
  </si>
  <si>
    <t>АЕЖР.941146.911</t>
  </si>
  <si>
    <t>АЕЖР.941146.351</t>
  </si>
  <si>
    <t>АЕЖР.303359.003</t>
  </si>
  <si>
    <t>АЕЖР.301525.002-01</t>
  </si>
  <si>
    <t>АЕЖР.301525.002-02</t>
  </si>
  <si>
    <t>АЕЖР.301525.002-03</t>
  </si>
  <si>
    <t>АЕЖР.301525.002-04</t>
  </si>
  <si>
    <t>АЕЖР.941146.912</t>
  </si>
  <si>
    <t>АЕЖР.941146.202</t>
  </si>
  <si>
    <t>АЕЖР.305111.043</t>
  </si>
  <si>
    <t>АЕЖР.305111.044</t>
  </si>
  <si>
    <t>АЕЖР.305111.045</t>
  </si>
  <si>
    <t>АЕЖР.305111.046</t>
  </si>
  <si>
    <t>АЕЖР.305111.047</t>
  </si>
  <si>
    <t>АЕЖР.305111.048</t>
  </si>
  <si>
    <t>АЕЖР.305111.049</t>
  </si>
  <si>
    <t>АЕЖР.305111.050</t>
  </si>
  <si>
    <t>АЕЖР.305111.051</t>
  </si>
  <si>
    <t>АЕЖР.305111.052</t>
  </si>
  <si>
    <t>АЕЖР.305165.010</t>
  </si>
  <si>
    <t>АЕЖР.301319.010</t>
  </si>
  <si>
    <t>АЕЖР.305111.039</t>
  </si>
  <si>
    <t>АЕЖР.305111.040</t>
  </si>
  <si>
    <t>АЕЖР.941146.913</t>
  </si>
  <si>
    <t>АЕЖР.941146.402</t>
  </si>
  <si>
    <t>АЕЖР.941146.914</t>
  </si>
  <si>
    <t>АЕЖР.941146.252</t>
  </si>
  <si>
    <t>АЕЖР.305111.053</t>
  </si>
  <si>
    <t>АЕЖР.305111.054</t>
  </si>
  <si>
    <t>АЕЖР.685631.178</t>
  </si>
  <si>
    <t>АЕЖР.685631.179</t>
  </si>
  <si>
    <t>АЕЖР.941146.915</t>
  </si>
  <si>
    <t>АЕЖР.941146.452</t>
  </si>
  <si>
    <t>АЕЖР.941146.916</t>
  </si>
  <si>
    <t>АЕЖР.941146.253</t>
  </si>
  <si>
    <t>АЕЖР.941146.917</t>
  </si>
  <si>
    <t>АЕЖР.941146.453</t>
  </si>
  <si>
    <t>АЕЖР.941146.902</t>
  </si>
  <si>
    <t>АЕЖР.941146.201</t>
  </si>
  <si>
    <t>АЕЖР.941146.905</t>
  </si>
  <si>
    <t>АЕЖР.941146.401</t>
  </si>
  <si>
    <t>АЕЖР.941146.903</t>
  </si>
  <si>
    <t>АЕЖР.941146.251</t>
  </si>
  <si>
    <t>АЕЖР.941146.906</t>
  </si>
  <si>
    <t>АЕЖР.941146.451</t>
  </si>
  <si>
    <t>АЕЖР.941146.907</t>
  </si>
  <si>
    <t>АЕЖР.424319.001 АЕЖР-01.01.01.000</t>
  </si>
  <si>
    <t>АЕЖР-01.01.01.100</t>
  </si>
  <si>
    <t>АЕЖР-01.01.01.200</t>
  </si>
  <si>
    <t>АЕЖР-01.01.01.210</t>
  </si>
  <si>
    <t>АЕЖР-01.01.01.211</t>
  </si>
  <si>
    <t>АЕЖР-01.01.01.212</t>
  </si>
  <si>
    <t>АЕЖР-01.01.01.201</t>
  </si>
  <si>
    <t>АЕЖР-01.01.01.202-01</t>
  </si>
  <si>
    <t>АЕЖР-01.01.01.300</t>
  </si>
  <si>
    <t>АЕЖР-01.01.01.301</t>
  </si>
  <si>
    <t>АЕЖР-01.01.01.202</t>
  </si>
  <si>
    <t>АЕЖР-01.01.01.400</t>
  </si>
  <si>
    <t>АЕЖР-01.01.01.410</t>
  </si>
  <si>
    <t>АЕЖР-01.01.01.411</t>
  </si>
  <si>
    <t>АЕЖР-01.01.01.412</t>
  </si>
  <si>
    <t>АЕЖР-01.01.01.401</t>
  </si>
  <si>
    <t>АЕЖР-01.01.01.500</t>
  </si>
  <si>
    <t>АЕЖР-01.01.01.501</t>
  </si>
  <si>
    <t>АЕЖР-01.01.01.502</t>
  </si>
  <si>
    <t>АЕЖР-01.01.01.509</t>
  </si>
  <si>
    <t>АЕЖР-01.01.01.511</t>
  </si>
  <si>
    <t>АЕЖР-01.01.01.503</t>
  </si>
  <si>
    <t>АЕЖР-01.01.01.504</t>
  </si>
  <si>
    <t>АЕЖР-01.01.01.505</t>
  </si>
  <si>
    <t>АЕЖР-01.01.01.506</t>
  </si>
  <si>
    <t>АЕЖР-01.01.01.507</t>
  </si>
  <si>
    <t>АЕЖР-01.01.01.508</t>
  </si>
  <si>
    <t>АЕЖР-01.01.03.100</t>
  </si>
  <si>
    <t>АЕЖР-01.01.01.001</t>
  </si>
  <si>
    <t>АЕЖР-01.01.01.002</t>
  </si>
  <si>
    <t>АЕЖР-01.01.01.003</t>
  </si>
  <si>
    <t>АЕЖР-01.01.01.004</t>
  </si>
  <si>
    <t>АЕЖР-01.01.01.005</t>
  </si>
  <si>
    <t>АЕЖР-01.01.01.006</t>
  </si>
  <si>
    <t>АЕЖР-01.01.01.007</t>
  </si>
  <si>
    <t>АЕЖР-01.01.01.008</t>
  </si>
  <si>
    <t>АЕЖР-01.01.01.009</t>
  </si>
  <si>
    <t>АЕЖР-01.01.01.012</t>
  </si>
  <si>
    <t>АЕЖР-01.01.01.013</t>
  </si>
  <si>
    <t>АЕЖР-01.01.01.014</t>
  </si>
  <si>
    <t>АЕЖР-01.01.03.002</t>
  </si>
  <si>
    <t>АЕЖР-01.01.03.003</t>
  </si>
  <si>
    <t>АЕЖР-01.01.03.001</t>
  </si>
  <si>
    <t>АЕЖР-01.01.00.100</t>
  </si>
  <si>
    <t>АЕЖР-01.01.00.110</t>
  </si>
  <si>
    <t>АЕЖР-01.01.10.100</t>
  </si>
  <si>
    <t>АЕЖР-01.01.08.001</t>
  </si>
  <si>
    <t>Кабель соединительный термистор NTC - система управления АЕЖР</t>
  </si>
  <si>
    <t>АЕЖР-01.01.05.001</t>
  </si>
  <si>
    <t>АЕЖР-01.01.05.003</t>
  </si>
  <si>
    <t>АЕЖР-01.01.05.005</t>
  </si>
  <si>
    <t>АЕЖР-01.01.05.006</t>
  </si>
  <si>
    <t>АЕЖР-01.01.00.007</t>
  </si>
  <si>
    <t>Кабель соединительный система управления АЕЖР (Х7) - преобразователь частоты</t>
  </si>
  <si>
    <t>Кабель соединительный система управления АЕЖР (Х5) - преобразователь частоты</t>
  </si>
  <si>
    <t>АЕЖР-01.01.03.008</t>
  </si>
  <si>
    <t>АЕЖР-01.01.03.009</t>
  </si>
  <si>
    <t>АЕЖР-01.01.03.101</t>
  </si>
  <si>
    <t>АЕЖР-01.01.03.102</t>
  </si>
  <si>
    <t>АЕЖР-01.01.03.103</t>
  </si>
  <si>
    <t>АЕЖР-01.01.03.104</t>
  </si>
  <si>
    <t>Система управления АЕЖР, ПО STM32</t>
  </si>
  <si>
    <t>АЕЖР-01.01.02.001</t>
  </si>
  <si>
    <t>АЕЖР-01.01.13.001</t>
  </si>
  <si>
    <t>Жгут соединительный система управления АЕЖР (Х19)- розетка блочная(Х4)- блок питания</t>
  </si>
  <si>
    <t>Кабель соединительный реле с колодкой 24v DC(А2-А1)- система управления АЕЖР (Х11)</t>
  </si>
  <si>
    <t>Кабель соединительный система управления АЕЖР (Х13)- клеммы проходные</t>
  </si>
  <si>
    <t>Жгут соединительный система управления АЕЖР (Х1)- розетка блочная(Х8)- плата системы разгрузки(Х4)</t>
  </si>
  <si>
    <t>Кабель соединительный система управления АЕЖР (Х8, х18)- розетка блочная</t>
  </si>
  <si>
    <t>Кабель соединительный реле с колодкой 24V DC- система управления АЕЖР (Х10)</t>
  </si>
  <si>
    <t>Кабель соединительный система управления АЕЖР (Х17)- переходник RJ блочный(Х5)</t>
  </si>
  <si>
    <t>Кабель соединительный плата системы разгрузки - система управления АЕЖР (Х12) - розетка блочная</t>
  </si>
  <si>
    <t>Кабель соединительный система управления АЕЖР (Х15)- вентилятор мотора</t>
  </si>
  <si>
    <t>АЕЖР-01.01.00.002</t>
  </si>
  <si>
    <t>АЕЖР-01.01.00.005</t>
  </si>
  <si>
    <t>АЕЖР-01.01.00.008</t>
  </si>
  <si>
    <t>АЕЖР-01.01.00.018</t>
  </si>
  <si>
    <t xml:space="preserve">Кабель соединительный оптический датчик А8 - система управления АЕЖР (Х2) </t>
  </si>
  <si>
    <t>Кабель соединительный оптический датчик А9 - система управления АЕЖР (Х3)</t>
  </si>
  <si>
    <t>Кабель соединительный оптический датчик А6 -оптический датчик А7 - система управления АЕЖР (Х4)</t>
  </si>
  <si>
    <t>АЕЖР-01.09.00.001</t>
  </si>
  <si>
    <t>АЕЖР-01.09.00.002</t>
  </si>
  <si>
    <t>АЕЖР-01.09.00.003</t>
  </si>
  <si>
    <t>АЕЖР-01.12.00.001</t>
  </si>
  <si>
    <t>АЕЖР-01.12.00.002</t>
  </si>
  <si>
    <t>АЕЖР-01.12.00.004</t>
  </si>
  <si>
    <t>АЕЖР-01.12.00.010 СБ</t>
  </si>
  <si>
    <t>АЕЖР-01.02.01.000</t>
  </si>
  <si>
    <t>АЕЖР-01.03.01.000</t>
  </si>
  <si>
    <t>АЕЖР-01.04.01.000</t>
  </si>
  <si>
    <t>АЕЖР-01.02.02.100</t>
  </si>
  <si>
    <t>АЕЖР-01.03.02.100</t>
  </si>
  <si>
    <t>АЕЖР-01.04.02.100</t>
  </si>
  <si>
    <t>АЕЖР.305111.001 АЕЖР-01.08.00.000 -Дуга без. фикс. Пор</t>
  </si>
  <si>
    <t>АЕЖР.305111.008 АЕЖР-01.07.00.000 - Дуга безопасности для рег. Пор</t>
  </si>
  <si>
    <t>АЕЖР.305165.001 АЕЖР-01.05.00.000 - Рампа (Пандус)</t>
  </si>
  <si>
    <t xml:space="preserve"> АЕЖР-01.05.00.100</t>
  </si>
  <si>
    <t xml:space="preserve"> АЕЖР-01.05.00.200</t>
  </si>
  <si>
    <t>АЕЖР-01.05.00.200-01</t>
  </si>
  <si>
    <t>АЕЖР.301319.001 АЕЖР-01.10.00.000 - Доп. регулируемые упоры</t>
  </si>
  <si>
    <t>АЕЖР.305111.035 АЕЖР-01.04.09.000</t>
  </si>
  <si>
    <t>АЕЖР.305111.036 АЕЖР-01.04.08.000</t>
  </si>
  <si>
    <t>АЕЖР-01.11.00.001</t>
  </si>
  <si>
    <t>АЕЖР-01.11.00.002</t>
  </si>
  <si>
    <t>АЕЖР-01.11.00.003</t>
  </si>
  <si>
    <t>АЕЖР-01.11.00.100</t>
  </si>
  <si>
    <t>АЕЖР-01.11.00.101</t>
  </si>
  <si>
    <t>АЕЖР-01.11.00.102</t>
  </si>
  <si>
    <t>АЕЖР-01.11.00.103</t>
  </si>
  <si>
    <t>АЕЖР-01.11.00.104</t>
  </si>
  <si>
    <t>АЕЖР-01.11.00.105</t>
  </si>
  <si>
    <t>АЕЖР-01.11.00.106</t>
  </si>
  <si>
    <t>АЕЖР-01.11.00.200</t>
  </si>
  <si>
    <t>АЕЖР-01.11.00.201</t>
  </si>
  <si>
    <t>АЕЖР-01.11.00.202</t>
  </si>
  <si>
    <t>АЕЖР-01.11.00.300</t>
  </si>
  <si>
    <t>АЕЖР-01.11.00.301</t>
  </si>
  <si>
    <t>АЕЖР-01.11.00.302</t>
  </si>
  <si>
    <t>АЕЖР-01.13.00.100</t>
  </si>
  <si>
    <t>АЕЖР-01.13.00.200</t>
  </si>
  <si>
    <t>Кабель лазерный нивелир АЕЖР</t>
  </si>
  <si>
    <t>АЕЖР-01.13.00.001</t>
  </si>
  <si>
    <t>АЕЖР-01.13.00.002</t>
  </si>
  <si>
    <t>Крепление рампы к кронштейнам АЕЖР-01.05.00.200</t>
  </si>
  <si>
    <t>АЕЖР-01.05.00.002</t>
  </si>
  <si>
    <t>АЕЖР-01.05.00.001</t>
  </si>
  <si>
    <t>Крепление кронштейнов АЕЖР-01.05.00.200 к беговой дорожке</t>
  </si>
  <si>
    <t>АЕЖР.942819.001 АЕЖР-01.06.00.000 - Сиденье</t>
  </si>
  <si>
    <t>Вместо задних ножек АЕЖР</t>
  </si>
  <si>
    <t>Компоненты Проекта</t>
  </si>
  <si>
    <t>Плавкие вставки. Однофазные . Информационная наклейка.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</si>
</sst>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₽&quot;"/>
  </numFmts>
  <fonts count="16" x14ac:knownFonts="1">
    <font>
      <sz val="11"/>
      <color rgb="FF000000"/>
      <name val="Calibri"/>
      <family val="2"/>
      <charset val="204"/>
    </font>
    <font>
      <u/>
      <sz val="11"/>
      <color rgb="FF0563C1"/>
      <name val="Calibri"/>
      <family val="2"/>
      <charset val="204"/>
    </font>
    <font>
      <sz val="11"/>
      <name val="Consolas"/>
      <family val="3"/>
      <charset val="204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name val="Calibri"/>
      <family val="2"/>
      <charset val="204"/>
      <scheme val="minor"/>
    </font>
    <font>
      <u/>
      <sz val="11"/>
      <color rgb="FF0563C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u/>
      <sz val="11"/>
      <color theme="0" tint="-0.249977111117893"/>
      <name val="Calibri"/>
      <family val="2"/>
      <charset val="204"/>
      <scheme val="minor"/>
    </font>
    <font>
      <sz val="8"/>
      <name val="Calibri"/>
      <family val="2"/>
      <charset val="204"/>
    </font>
    <font>
      <b/>
      <sz val="11"/>
      <color theme="8" tint="0.39997558519241921"/>
      <name val="Calibri"/>
      <family val="2"/>
      <charset val="204"/>
    </font>
    <font>
      <b/>
      <sz val="11"/>
      <color rgb="FFFF0000"/>
      <name val="Calibri"/>
      <family val="2"/>
      <charset val="204"/>
    </font>
    <font>
      <b/>
      <sz val="11"/>
      <color rgb="FFFFFF00"/>
      <name val="Calibri"/>
      <family val="2"/>
      <charset val="204"/>
    </font>
    <font>
      <sz val="11"/>
      <name val="Calibri"/>
      <family val="2"/>
      <charset val="204"/>
    </font>
    <font>
      <b/>
      <sz val="11"/>
      <color rgb="FFFFFF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Border="0" applyProtection="0"/>
  </cellStyleXfs>
  <cellXfs count="118">
    <xf numFmtId="0" fontId="0" fillId="0" borderId="0" xfId="0"/>
    <xf numFmtId="0" fontId="2" fillId="0" borderId="0" xfId="0" applyFont="1" applyFill="1" applyBorder="1" applyAlignment="1">
      <alignment horizontal="right" vertical="center"/>
    </xf>
    <xf numFmtId="0" fontId="2" fillId="2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Alignment="1">
      <alignment vertical="center"/>
    </xf>
    <xf numFmtId="164" fontId="4" fillId="0" borderId="0" xfId="0" applyNumberFormat="1" applyFont="1" applyFill="1" applyAlignment="1">
      <alignment vertical="center"/>
    </xf>
    <xf numFmtId="0" fontId="4" fillId="3" borderId="4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164" fontId="4" fillId="3" borderId="2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4" fillId="0" borderId="3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vertical="center"/>
    </xf>
    <xf numFmtId="164" fontId="4" fillId="0" borderId="3" xfId="0" applyNumberFormat="1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left" vertical="center"/>
    </xf>
    <xf numFmtId="0" fontId="4" fillId="0" borderId="1" xfId="0" applyFont="1" applyFill="1" applyBorder="1" applyAlignment="1">
      <alignment vertical="center"/>
    </xf>
    <xf numFmtId="164" fontId="4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Font="1" applyFill="1" applyBorder="1" applyAlignment="1" applyProtection="1">
      <alignment vertical="center"/>
    </xf>
    <xf numFmtId="0" fontId="6" fillId="0" borderId="1" xfId="1" applyFont="1" applyBorder="1" applyAlignment="1" applyProtection="1">
      <alignment vertical="center"/>
    </xf>
    <xf numFmtId="0" fontId="6" fillId="0" borderId="1" xfId="1" applyFont="1" applyBorder="1" applyProtection="1"/>
    <xf numFmtId="0" fontId="6" fillId="0" borderId="1" xfId="1" applyFont="1" applyFill="1" applyBorder="1" applyProtection="1"/>
    <xf numFmtId="0" fontId="6" fillId="0" borderId="1" xfId="1" applyFont="1" applyFill="1" applyBorder="1"/>
    <xf numFmtId="49" fontId="7" fillId="0" borderId="0" xfId="0" applyNumberFormat="1" applyFont="1"/>
    <xf numFmtId="0" fontId="7" fillId="0" borderId="0" xfId="0" applyFont="1"/>
    <xf numFmtId="0" fontId="6" fillId="0" borderId="1" xfId="1" applyFont="1" applyFill="1" applyBorder="1" applyAlignment="1">
      <alignment horizontal="left" vertical="center"/>
    </xf>
    <xf numFmtId="0" fontId="6" fillId="0" borderId="1" xfId="1" applyFont="1" applyBorder="1"/>
    <xf numFmtId="0" fontId="7" fillId="0" borderId="1" xfId="0" applyNumberFormat="1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6" fillId="0" borderId="1" xfId="1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9" fillId="0" borderId="1" xfId="1" applyFont="1" applyFill="1" applyBorder="1"/>
    <xf numFmtId="164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9" fillId="0" borderId="1" xfId="1" applyFont="1" applyFill="1" applyBorder="1" applyProtection="1"/>
    <xf numFmtId="0" fontId="6" fillId="0" borderId="0" xfId="1" applyFont="1" applyFill="1"/>
    <xf numFmtId="0" fontId="3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164" fontId="4" fillId="2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vertical="center"/>
    </xf>
    <xf numFmtId="0" fontId="4" fillId="2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6" fillId="4" borderId="1" xfId="1" applyFont="1" applyFill="1" applyBorder="1" applyProtection="1"/>
    <xf numFmtId="0" fontId="5" fillId="4" borderId="1" xfId="1" applyFont="1" applyFill="1" applyBorder="1" applyAlignment="1" applyProtection="1">
      <alignment vertical="center"/>
    </xf>
    <xf numFmtId="0" fontId="1" fillId="4" borderId="1" xfId="1" applyFill="1" applyBorder="1" applyProtection="1"/>
    <xf numFmtId="0" fontId="4" fillId="4" borderId="1" xfId="0" quotePrefix="1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0" fontId="5" fillId="2" borderId="1" xfId="1" applyFont="1" applyFill="1" applyBorder="1" applyAlignment="1" applyProtection="1">
      <alignment vertical="center"/>
    </xf>
    <xf numFmtId="0" fontId="6" fillId="2" borderId="1" xfId="1" applyFont="1" applyFill="1" applyBorder="1" applyProtection="1"/>
    <xf numFmtId="0" fontId="6" fillId="4" borderId="1" xfId="1" applyFont="1" applyFill="1" applyBorder="1"/>
    <xf numFmtId="0" fontId="6" fillId="4" borderId="1" xfId="1" applyFont="1" applyFill="1" applyBorder="1" applyAlignment="1">
      <alignment vertical="center"/>
    </xf>
    <xf numFmtId="49" fontId="7" fillId="4" borderId="0" xfId="0" applyNumberFormat="1" applyFont="1" applyFill="1"/>
    <xf numFmtId="0" fontId="7" fillId="4" borderId="0" xfId="0" applyFont="1" applyFill="1"/>
    <xf numFmtId="0" fontId="6" fillId="4" borderId="1" xfId="1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6" fillId="4" borderId="1" xfId="1" applyFont="1" applyFill="1" applyBorder="1" applyAlignment="1" applyProtection="1">
      <alignment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" fillId="5" borderId="0" xfId="0" applyFont="1" applyFill="1" applyBorder="1" applyAlignment="1">
      <alignment horizontal="right" vertical="center"/>
    </xf>
    <xf numFmtId="0" fontId="3" fillId="5" borderId="0" xfId="0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vertical="center"/>
    </xf>
    <xf numFmtId="0" fontId="3" fillId="5" borderId="1" xfId="0" applyFont="1" applyFill="1" applyBorder="1" applyAlignment="1">
      <alignment vertical="center"/>
    </xf>
    <xf numFmtId="0" fontId="4" fillId="5" borderId="0" xfId="0" applyFont="1" applyFill="1" applyAlignment="1">
      <alignment vertical="center"/>
    </xf>
    <xf numFmtId="0" fontId="6" fillId="5" borderId="1" xfId="1" applyFont="1" applyFill="1" applyBorder="1" applyAlignment="1">
      <alignment vertical="center"/>
    </xf>
    <xf numFmtId="49" fontId="0" fillId="0" borderId="0" xfId="0" applyNumberFormat="1" applyAlignment="1">
      <alignment horizontal="left" vertical="center"/>
    </xf>
    <xf numFmtId="49" fontId="4" fillId="0" borderId="0" xfId="0" applyNumberFormat="1" applyFont="1" applyFill="1" applyAlignment="1">
      <alignment horizontal="left" vertical="center"/>
    </xf>
    <xf numFmtId="49" fontId="4" fillId="0" borderId="3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center"/>
    </xf>
    <xf numFmtId="49" fontId="4" fillId="5" borderId="1" xfId="0" applyNumberFormat="1" applyFont="1" applyFill="1" applyBorder="1" applyAlignment="1">
      <alignment horizontal="left" vertical="center"/>
    </xf>
    <xf numFmtId="49" fontId="4" fillId="3" borderId="2" xfId="0" applyNumberFormat="1" applyFont="1" applyFill="1" applyBorder="1" applyAlignment="1">
      <alignment horizontal="right" vertical="center"/>
    </xf>
    <xf numFmtId="0" fontId="4" fillId="5" borderId="0" xfId="0" applyFont="1" applyFill="1" applyBorder="1" applyAlignment="1">
      <alignment horizontal="right" vertical="center"/>
    </xf>
    <xf numFmtId="0" fontId="11" fillId="6" borderId="0" xfId="0" applyFont="1" applyFill="1" applyAlignment="1">
      <alignment vertical="center"/>
    </xf>
    <xf numFmtId="0" fontId="0" fillId="6" borderId="0" xfId="0" applyFill="1"/>
    <xf numFmtId="49" fontId="0" fillId="6" borderId="0" xfId="0" applyNumberFormat="1" applyFill="1" applyAlignment="1">
      <alignment horizontal="left" vertical="center"/>
    </xf>
    <xf numFmtId="0" fontId="7" fillId="4" borderId="1" xfId="0" applyNumberFormat="1" applyFont="1" applyFill="1" applyBorder="1" applyAlignment="1">
      <alignment vertical="center"/>
    </xf>
    <xf numFmtId="164" fontId="14" fillId="0" borderId="1" xfId="0" applyNumberFormat="1" applyFont="1" applyBorder="1" applyAlignment="1">
      <alignment vertical="center"/>
    </xf>
    <xf numFmtId="2" fontId="4" fillId="0" borderId="1" xfId="0" applyNumberFormat="1" applyFont="1" applyFill="1" applyBorder="1" applyAlignment="1">
      <alignment vertical="center"/>
    </xf>
    <xf numFmtId="164" fontId="15" fillId="7" borderId="1" xfId="0" applyNumberFormat="1" applyFont="1" applyFill="1" applyBorder="1" applyAlignment="1">
      <alignment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0" fillId="0" borderId="1" xfId="0" applyBorder="1" applyAlignment="1">
      <alignment textRotation="90"/>
    </xf>
    <xf numFmtId="0" fontId="0" fillId="0" borderId="12" xfId="0" applyBorder="1" applyAlignment="1">
      <alignment textRotation="90"/>
    </xf>
    <xf numFmtId="0" fontId="0" fillId="0" borderId="13" xfId="0" applyBorder="1" applyAlignment="1"/>
    <xf numFmtId="0" fontId="0" fillId="0" borderId="14" xfId="0" applyBorder="1" applyAlignme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CCFFFF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3CAFF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57150</xdr:rowOff>
        </xdr:from>
        <xdr:to>
          <xdr:col>5</xdr:col>
          <xdr:colOff>180975</xdr:colOff>
          <xdr:row>0</xdr:row>
          <xdr:rowOff>400050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Library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onpad.ru/catalog/cubie/odroid/acc_odroid/2115.html" TargetMode="External"/><Relationship Id="rId117" Type="http://schemas.openxmlformats.org/officeDocument/2006/relationships/vmlDrawing" Target="../drawings/vmlDrawing1.vml"/><Relationship Id="rId21" Type="http://schemas.openxmlformats.org/officeDocument/2006/relationships/hyperlink" Target="http://connector.su/parts/170/fq24-4zk-s-3747.html" TargetMode="External"/><Relationship Id="rId42" Type="http://schemas.openxmlformats.org/officeDocument/2006/relationships/hyperlink" Target="https://www.phoenixcontact.com/online/portal/ru?uri=pxc-oc-itemdetail:pid=1424659&amp;library=ruru&amp;tab=1&amp;requestType=product&amp;productId=1424659&amp;productDetection=true&amp;redirectTarget=country&amp;redirectTo=RU" TargetMode="External"/><Relationship Id="rId47" Type="http://schemas.openxmlformats.org/officeDocument/2006/relationships/hyperlink" Target="https://www.superbolt.ru/product/samorez_s_potaynoy_golovkoy_dlya_plastika_s_tupym_kontsom_pod_krest/" TargetMode="External"/><Relationship Id="rId63" Type="http://schemas.openxmlformats.org/officeDocument/2006/relationships/hyperlink" Target="https://www.molex.com/molex/products/part-detail/pcb_headers/0022035025" TargetMode="External"/><Relationship Id="rId68" Type="http://schemas.openxmlformats.org/officeDocument/2006/relationships/hyperlink" Target="https://www.obi.ru/ventilyacionnye-kanaly-i-fitingi/lenta-ventilyacionnaya-era-porolon-lu/p/4207460" TargetMode="External"/><Relationship Id="rId84" Type="http://schemas.openxmlformats.org/officeDocument/2006/relationships/hyperlink" Target="http://www.rct.ru/warehouse/80004122/80006219.html" TargetMode="External"/><Relationship Id="rId89" Type="http://schemas.openxmlformats.org/officeDocument/2006/relationships/hyperlink" Target="https://www.molex.com/molex/products/part-detail/crimp_housings/0050375033" TargetMode="External"/><Relationship Id="rId112" Type="http://schemas.openxmlformats.org/officeDocument/2006/relationships/hyperlink" Target="https://www.molex.com/molex/products/part-detail/crimp_housings/0050375033" TargetMode="External"/><Relationship Id="rId16" Type="http://schemas.openxmlformats.org/officeDocument/2006/relationships/hyperlink" Target="http://www.rct.ru/warehouse/80004122/80044356.html" TargetMode="External"/><Relationship Id="rId107" Type="http://schemas.openxmlformats.org/officeDocument/2006/relationships/hyperlink" Target="https://www.molex.com/molex/search/partSearch?pQuery=&amp;sType=s&amp;query=5263" TargetMode="External"/><Relationship Id="rId11" Type="http://schemas.openxmlformats.org/officeDocument/2006/relationships/hyperlink" Target="https://www.elitan.ru/price/item558361" TargetMode="External"/><Relationship Id="rId24" Type="http://schemas.openxmlformats.org/officeDocument/2006/relationships/hyperlink" Target="https://www.compel.ru/infosheet/RASPBERR/Raspberry%20Pi%20Compute%20Module%203%20Lite" TargetMode="External"/><Relationship Id="rId32" Type="http://schemas.openxmlformats.org/officeDocument/2006/relationships/hyperlink" Target="https://www.etm.ru/cat/nn/1780431/" TargetMode="External"/><Relationship Id="rId37" Type="http://schemas.openxmlformats.org/officeDocument/2006/relationships/hyperlink" Target="http://www.zaglushka.ru/catalog/37/2991.html" TargetMode="External"/><Relationship Id="rId40" Type="http://schemas.openxmlformats.org/officeDocument/2006/relationships/hyperlink" Target="https://www.phoenixcontact.com/online/portal/ru?uri=pxc-oc-itemdetail:pid=1424659&amp;library=ruru&amp;tab=1&amp;requestType=product&amp;productId=1424659&amp;productDetection=true&amp;redirectTarget=country&amp;redirectTo=RU" TargetMode="External"/><Relationship Id="rId45" Type="http://schemas.openxmlformats.org/officeDocument/2006/relationships/hyperlink" Target="https://www.okw.com.ru/ru/Interface-Terminal/B4146107.htm" TargetMode="External"/><Relationship Id="rId53" Type="http://schemas.openxmlformats.org/officeDocument/2006/relationships/hyperlink" Target="https://navi-expert.ru/p43448377-kreplenie-ram-kruglaya.html" TargetMode="External"/><Relationship Id="rId58" Type="http://schemas.openxmlformats.org/officeDocument/2006/relationships/hyperlink" Target="https://www.tme.eu/ru/details/ickbga10x10x10/radiatory/fischer-elektronik/ick-bga-10-x-10-x-10/" TargetMode="External"/><Relationship Id="rId66" Type="http://schemas.openxmlformats.org/officeDocument/2006/relationships/hyperlink" Target="https://www.etm.ru/cat/nn/607080/" TargetMode="External"/><Relationship Id="rId74" Type="http://schemas.openxmlformats.org/officeDocument/2006/relationships/hyperlink" Target="https://www.elitan.ru/price/item298913" TargetMode="External"/><Relationship Id="rId79" Type="http://schemas.openxmlformats.org/officeDocument/2006/relationships/hyperlink" Target="https://www.etm.ru/cat/nn/607080/" TargetMode="External"/><Relationship Id="rId87" Type="http://schemas.openxmlformats.org/officeDocument/2006/relationships/hyperlink" Target="https://www.molex.com/molex/search/partSearch?pQuery=&amp;sType=s&amp;query=5263" TargetMode="External"/><Relationship Id="rId102" Type="http://schemas.openxmlformats.org/officeDocument/2006/relationships/hyperlink" Target="https://www.molex.com/molex/products/part-detail/crimp_housings/0050375033" TargetMode="External"/><Relationship Id="rId110" Type="http://schemas.openxmlformats.org/officeDocument/2006/relationships/hyperlink" Target="https://www.molex.com/molex/search/partSearch?pQuery=&amp;sType=s&amp;query=5263" TargetMode="External"/><Relationship Id="rId115" Type="http://schemas.openxmlformats.org/officeDocument/2006/relationships/printerSettings" Target="../printerSettings/printerSettings1.bin"/><Relationship Id="rId5" Type="http://schemas.openxmlformats.org/officeDocument/2006/relationships/hyperlink" Target="http://www.rct.ru/warehouse/80004122/80033287.html" TargetMode="External"/><Relationship Id="rId61" Type="http://schemas.openxmlformats.org/officeDocument/2006/relationships/hyperlink" Target="https://www.molex.com/molex/products/part-detail/pcb_headers/0022035055" TargetMode="External"/><Relationship Id="rId82" Type="http://schemas.openxmlformats.org/officeDocument/2006/relationships/hyperlink" Target="https://www.elitan.ru/price/item298913" TargetMode="External"/><Relationship Id="rId90" Type="http://schemas.openxmlformats.org/officeDocument/2006/relationships/hyperlink" Target="https://www.molex.com/molex/products/part-detail/crimp_housings/0050375053" TargetMode="External"/><Relationship Id="rId95" Type="http://schemas.openxmlformats.org/officeDocument/2006/relationships/hyperlink" Target="https://www.molex.com/molex/search/partSearch?pQuery=&amp;sType=s&amp;query=5263" TargetMode="External"/><Relationship Id="rId19" Type="http://schemas.openxmlformats.org/officeDocument/2006/relationships/hyperlink" Target="http://connector.su/parts/166/fq24-4tk-12-1775.html" TargetMode="External"/><Relationship Id="rId14" Type="http://schemas.openxmlformats.org/officeDocument/2006/relationships/hyperlink" Target="https://shop.antrieb.ru/produkcija/aktuatory_linejnye_privody/linejnye_aktuatory_hiwin/kontrolery_i_pdu/lap_4.htm" TargetMode="External"/><Relationship Id="rId22" Type="http://schemas.openxmlformats.org/officeDocument/2006/relationships/hyperlink" Target="https://products.lappgroup.com/online-catalogue/power-and-control-cables/oelflex-connect-systems-solutions/spiralised/oelflex-spiral-400-p.html" TargetMode="External"/><Relationship Id="rId27" Type="http://schemas.openxmlformats.org/officeDocument/2006/relationships/hyperlink" Target="https://www.elitan.ru/price/item71572" TargetMode="External"/><Relationship Id="rId30" Type="http://schemas.openxmlformats.org/officeDocument/2006/relationships/hyperlink" Target="http://www.rct.ru/warehouse/80004122/80033285.html" TargetMode="External"/><Relationship Id="rId35" Type="http://schemas.openxmlformats.org/officeDocument/2006/relationships/hyperlink" Target="http://connector.su/parts/170/fq24-4zj-s-1780.html" TargetMode="External"/><Relationship Id="rId43" Type="http://schemas.openxmlformats.org/officeDocument/2006/relationships/hyperlink" Target="http://connector.su/parts/165/fq18-6tj-6-3699.html" TargetMode="External"/><Relationship Id="rId48" Type="http://schemas.openxmlformats.org/officeDocument/2006/relationships/hyperlink" Target="https://neokt.ru/ru/katalog/shlejf-pljonochnyj-shag-0-5mm-pod-raz-jom/fpc-0-5-40-100" TargetMode="External"/><Relationship Id="rId56" Type="http://schemas.openxmlformats.org/officeDocument/2006/relationships/hyperlink" Target="https://www.tme.eu/ru/details/ickbga14x14x10/radiatory/fischer-elektronik/ick-bga-14-x-14-x-10/" TargetMode="External"/><Relationship Id="rId64" Type="http://schemas.openxmlformats.org/officeDocument/2006/relationships/hyperlink" Target="https://www.molex.com/molex/products/part-detail/pcb_headers/0022035035" TargetMode="External"/><Relationship Id="rId69" Type="http://schemas.openxmlformats.org/officeDocument/2006/relationships/hyperlink" Target="https://nn.vseinstrumenti.ru/krepezh/montazhnye-lenty/kleikaya-lenta/dvuhstoronnyaya/3m-/bezosnovnaya-lenta-atg-904-prozrachnaya-3m-12-mm-x-33-m-7000042431/" TargetMode="External"/><Relationship Id="rId77" Type="http://schemas.openxmlformats.org/officeDocument/2006/relationships/hyperlink" Target="https://www.elitan.ru/price/item471151" TargetMode="External"/><Relationship Id="rId100" Type="http://schemas.openxmlformats.org/officeDocument/2006/relationships/hyperlink" Target="https://www.molex.com/molex/search/partSearch?pQuery=&amp;sType=s&amp;query=5263" TargetMode="External"/><Relationship Id="rId105" Type="http://schemas.openxmlformats.org/officeDocument/2006/relationships/hyperlink" Target="https://www.molex.com/molex/products/part-detail/crimp_housings/0050375023" TargetMode="External"/><Relationship Id="rId113" Type="http://schemas.openxmlformats.org/officeDocument/2006/relationships/hyperlink" Target="https://www.molex.com/molex/search/partSearch?pQuery=&amp;sType=s&amp;query=5263" TargetMode="External"/><Relationship Id="rId118" Type="http://schemas.openxmlformats.org/officeDocument/2006/relationships/ctrlProp" Target="../ctrlProps/ctrlProp1.xml"/><Relationship Id="rId8" Type="http://schemas.openxmlformats.org/officeDocument/2006/relationships/hyperlink" Target="http://www.inels.ru/item_transformator-shtil-osm-t-220-uvt-2-5-50-dlya-kol-3-4-sht/" TargetMode="External"/><Relationship Id="rId51" Type="http://schemas.openxmlformats.org/officeDocument/2006/relationships/hyperlink" Target="https://ru.mouser.com/datasheet/2/427/ntcalug91am4-1628677.pdf" TargetMode="External"/><Relationship Id="rId72" Type="http://schemas.openxmlformats.org/officeDocument/2006/relationships/hyperlink" Target="https://nn.terraelectronica.ru/product/3495359" TargetMode="External"/><Relationship Id="rId80" Type="http://schemas.openxmlformats.org/officeDocument/2006/relationships/hyperlink" Target="https://www.etm.ru/cat/nn/607080/" TargetMode="External"/><Relationship Id="rId85" Type="http://schemas.openxmlformats.org/officeDocument/2006/relationships/hyperlink" Target="https://www.molex.com/molex/products/part-detail/crimp_housings/0050375023" TargetMode="External"/><Relationship Id="rId93" Type="http://schemas.openxmlformats.org/officeDocument/2006/relationships/hyperlink" Target="http://kipstore.ru/bts1m-tdtd/" TargetMode="External"/><Relationship Id="rId98" Type="http://schemas.openxmlformats.org/officeDocument/2006/relationships/hyperlink" Target="http://kipstore.ru/bts1m-tdtd/" TargetMode="External"/><Relationship Id="rId3" Type="http://schemas.openxmlformats.org/officeDocument/2006/relationships/hyperlink" Target="http://www.rct.ru/warehouse/80004122/80031343.html" TargetMode="External"/><Relationship Id="rId12" Type="http://schemas.openxmlformats.org/officeDocument/2006/relationships/hyperlink" Target="http://www.rct.ru/warehouse/80004122/80027958.html" TargetMode="External"/><Relationship Id="rId17" Type="http://schemas.openxmlformats.org/officeDocument/2006/relationships/hyperlink" Target="http://www.rct.ru/warehouse/80004122/80010292.html" TargetMode="External"/><Relationship Id="rId25" Type="http://schemas.openxmlformats.org/officeDocument/2006/relationships/hyperlink" Target="https://www.onpad.ru/catalog/cubie/raspberrypi/Accessories/1994.html" TargetMode="External"/><Relationship Id="rId33" Type="http://schemas.openxmlformats.org/officeDocument/2006/relationships/hyperlink" Target="https://www.etm.ru/cat/nn/9861121/" TargetMode="External"/><Relationship Id="rId38" Type="http://schemas.openxmlformats.org/officeDocument/2006/relationships/hyperlink" Target="https://www.phoenixcontact.com/online/portal/ru?uri=pxc-oc-itemdetail:pid=1424659&amp;library=ruru&amp;tab=1&amp;requestType=product&amp;productId=1424659&amp;productDetection=true&amp;redirectTarget=country&amp;redirectTo=RU" TargetMode="External"/><Relationship Id="rId46" Type="http://schemas.openxmlformats.org/officeDocument/2006/relationships/hyperlink" Target="https://www.superbolt.ru/catalog/samorezy/samorez_s_polukrugloy_golovkoy_dlya_plastika_s_tupym_kontsom_pod_krest/" TargetMode="External"/><Relationship Id="rId59" Type="http://schemas.openxmlformats.org/officeDocument/2006/relationships/hyperlink" Target="https://www.citilink.ru/catalog/computers_and_notebooks/media/flashcards/1007548/" TargetMode="External"/><Relationship Id="rId67" Type="http://schemas.openxmlformats.org/officeDocument/2006/relationships/hyperlink" Target="https://www.delta-battery.ru/catalog/dtm/delta-dtm-12032/" TargetMode="External"/><Relationship Id="rId103" Type="http://schemas.openxmlformats.org/officeDocument/2006/relationships/hyperlink" Target="https://www.molex.com/molex/search/partSearch?pQuery=&amp;sType=s&amp;query=5263" TargetMode="External"/><Relationship Id="rId108" Type="http://schemas.openxmlformats.org/officeDocument/2006/relationships/hyperlink" Target="https://ru.rsdelivers.com/product/rs-pro/rs30220m/rs-pro-%D0%B0%D0%B4%D0%B0%D0%BF%D1%82%D0%B5%D1%80/9075652" TargetMode="External"/><Relationship Id="rId116" Type="http://schemas.openxmlformats.org/officeDocument/2006/relationships/drawing" Target="../drawings/drawing1.xml"/><Relationship Id="rId20" Type="http://schemas.openxmlformats.org/officeDocument/2006/relationships/hyperlink" Target="http://connector.su/parts/166/fq24-4tj-12-3742.html" TargetMode="External"/><Relationship Id="rId41" Type="http://schemas.openxmlformats.org/officeDocument/2006/relationships/hyperlink" Target="http://connector.su/parts/165/fq18-6tj-6-3699.html" TargetMode="External"/><Relationship Id="rId54" Type="http://schemas.openxmlformats.org/officeDocument/2006/relationships/hyperlink" Target="https://www.prombearing.ru/catalog/upornye-odinarnye/f-6-12-m/" TargetMode="External"/><Relationship Id="rId62" Type="http://schemas.openxmlformats.org/officeDocument/2006/relationships/hyperlink" Target="https://www.molex.com/molex/products/part-detail/pcb_headers/0022035045" TargetMode="External"/><Relationship Id="rId70" Type="http://schemas.openxmlformats.org/officeDocument/2006/relationships/hyperlink" Target="https://www.etm.ru/cat/nn/1338839/" TargetMode="External"/><Relationship Id="rId75" Type="http://schemas.openxmlformats.org/officeDocument/2006/relationships/hyperlink" Target="https://www.elitan.ru/price/item306193" TargetMode="External"/><Relationship Id="rId83" Type="http://schemas.openxmlformats.org/officeDocument/2006/relationships/hyperlink" Target="https://www.elitan.ru/price/index.php?find=CMS0321KLX&amp;delay=-1&amp;mfg=all&amp;seenform=y" TargetMode="External"/><Relationship Id="rId88" Type="http://schemas.openxmlformats.org/officeDocument/2006/relationships/hyperlink" Target="https://www.molex.com/molex/search/partSearch?pQuery=&amp;sType=s&amp;query=5263" TargetMode="External"/><Relationship Id="rId91" Type="http://schemas.openxmlformats.org/officeDocument/2006/relationships/hyperlink" Target="https://www.molex.com/molex/products/part-detail/crimp_housings/0050375033" TargetMode="External"/><Relationship Id="rId96" Type="http://schemas.openxmlformats.org/officeDocument/2006/relationships/hyperlink" Target="http://kipstore.ru/bts1m-tdtd/" TargetMode="External"/><Relationship Id="rId111" Type="http://schemas.openxmlformats.org/officeDocument/2006/relationships/hyperlink" Target="https://www.molex.com/molex/search/partSearch?pQuery=&amp;sType=s&amp;query=5263" TargetMode="External"/><Relationship Id="rId1" Type="http://schemas.openxmlformats.org/officeDocument/2006/relationships/hyperlink" Target="http://www.rct.ru/warehouse/80004122/80018179.html" TargetMode="External"/><Relationship Id="rId6" Type="http://schemas.openxmlformats.org/officeDocument/2006/relationships/hyperlink" Target="https://www.elitan.ru/price/item9471140" TargetMode="External"/><Relationship Id="rId15" Type="http://schemas.openxmlformats.org/officeDocument/2006/relationships/hyperlink" Target="https://shop.antrieb.ru/produkcija/aktuatory_linejnye_privody/linejnye_aktuatory_hiwin/kontrolery_i_pdu/lap_4.htm" TargetMode="External"/><Relationship Id="rId23" Type="http://schemas.openxmlformats.org/officeDocument/2006/relationships/hyperlink" Target="https://www.nix.ru/autocatalog/cables/VCOM-CE021-CU15-18m-Kabel-kompyuter-rozetka-220V-Evropejskij-standart_351301.html" TargetMode="External"/><Relationship Id="rId28" Type="http://schemas.openxmlformats.org/officeDocument/2006/relationships/hyperlink" Target="https://www.compel.ru/infosheet/EEMB/LP103454LC-PCM-LD" TargetMode="External"/><Relationship Id="rId36" Type="http://schemas.openxmlformats.org/officeDocument/2006/relationships/hyperlink" Target="https://www.chipdip.ru/product/mgb12-p-6g" TargetMode="External"/><Relationship Id="rId49" Type="http://schemas.openxmlformats.org/officeDocument/2006/relationships/hyperlink" Target="http://syndic.ru/wheels-and-castors/light-duty-wheels-castors/vpa-vga/lra-vpa-bra-vpa-lkra-vpa-bkra-vpa-lkra-vga-bkra-vga/" TargetMode="External"/><Relationship Id="rId57" Type="http://schemas.openxmlformats.org/officeDocument/2006/relationships/hyperlink" Target="https://www.tme.eu/ru/details/ickbga14x14/radiatory/fischer-elektronik/" TargetMode="External"/><Relationship Id="rId106" Type="http://schemas.openxmlformats.org/officeDocument/2006/relationships/hyperlink" Target="https://www.molex.com/molex/products/part-detail/crimp_housings/0050375023" TargetMode="External"/><Relationship Id="rId114" Type="http://schemas.openxmlformats.org/officeDocument/2006/relationships/hyperlink" Target="https://www.molex.com/molex/products/part-detail/crimp_housings/0050375033" TargetMode="External"/><Relationship Id="rId10" Type="http://schemas.openxmlformats.org/officeDocument/2006/relationships/hyperlink" Target="https://www.etm.ru/cat/nn/6975375/" TargetMode="External"/><Relationship Id="rId31" Type="http://schemas.openxmlformats.org/officeDocument/2006/relationships/hyperlink" Target="https://www.etm.ru/cat/nn/9880145/" TargetMode="External"/><Relationship Id="rId44" Type="http://schemas.openxmlformats.org/officeDocument/2006/relationships/hyperlink" Target="https://www.okw.com.ru/ru/Interface-Terminal/B4046717.htm" TargetMode="External"/><Relationship Id="rId52" Type="http://schemas.openxmlformats.org/officeDocument/2006/relationships/hyperlink" Target="https://navi-expert.ru/p42195665-kreplenie-ram-mufta.html" TargetMode="External"/><Relationship Id="rId60" Type="http://schemas.openxmlformats.org/officeDocument/2006/relationships/hyperlink" Target="https://www.molex.com/molex/products/part-detail/crimp_housings/0050375103" TargetMode="External"/><Relationship Id="rId65" Type="http://schemas.openxmlformats.org/officeDocument/2006/relationships/hyperlink" Target="https://www.molex.com/molex/products/part-detail/pcb_headers/0022035105" TargetMode="External"/><Relationship Id="rId73" Type="http://schemas.openxmlformats.org/officeDocument/2006/relationships/hyperlink" Target="http://www.alfa-elektronik.com/php/wurth/emc/cable_fer/flat.php" TargetMode="External"/><Relationship Id="rId78" Type="http://schemas.openxmlformats.org/officeDocument/2006/relationships/hyperlink" Target="https://www.tme.eu/ru/details/rzm031rb/rele-elektromagn-aksessuary/schneider-electric/" TargetMode="External"/><Relationship Id="rId81" Type="http://schemas.openxmlformats.org/officeDocument/2006/relationships/hyperlink" Target="https://www.elitan.ru/price/item298913" TargetMode="External"/><Relationship Id="rId86" Type="http://schemas.openxmlformats.org/officeDocument/2006/relationships/hyperlink" Target="https://www.molex.com/molex/search/partSearch?pQuery=&amp;sType=s&amp;query=5263" TargetMode="External"/><Relationship Id="rId94" Type="http://schemas.openxmlformats.org/officeDocument/2006/relationships/hyperlink" Target="https://www.molex.com/molex/products/part-detail/crimp_housings/0050375033" TargetMode="External"/><Relationship Id="rId99" Type="http://schemas.openxmlformats.org/officeDocument/2006/relationships/hyperlink" Target="https://www.molex.com/molex/products/part-detail/crimp_housings/0050375023" TargetMode="External"/><Relationship Id="rId101" Type="http://schemas.openxmlformats.org/officeDocument/2006/relationships/hyperlink" Target="https://www.molex.com/molex/products/part-detail/crimp_housings/0050375023" TargetMode="External"/><Relationship Id="rId4" Type="http://schemas.openxmlformats.org/officeDocument/2006/relationships/hyperlink" Target="http://www.rct.ru/warehouse/80004122/80044355.html" TargetMode="External"/><Relationship Id="rId9" Type="http://schemas.openxmlformats.org/officeDocument/2006/relationships/hyperlink" Target="https://ru.farnell.com/abb/e92-32-pv/fuse-carrier-2p-32a-1kv-dc/dp/1895106" TargetMode="External"/><Relationship Id="rId13" Type="http://schemas.openxmlformats.org/officeDocument/2006/relationships/hyperlink" Target="http://www.rct.ru/warehouse/80004122/80027958.html" TargetMode="External"/><Relationship Id="rId18" Type="http://schemas.openxmlformats.org/officeDocument/2006/relationships/hyperlink" Target="https://electro-kot.ru/lazernyy-stop-signal-na-avto.html" TargetMode="External"/><Relationship Id="rId39" Type="http://schemas.openxmlformats.org/officeDocument/2006/relationships/hyperlink" Target="http://connector.su/parts/165/fq18-6tj-6-3699.html" TargetMode="External"/><Relationship Id="rId109" Type="http://schemas.openxmlformats.org/officeDocument/2006/relationships/hyperlink" Target="https://www.molex.com/molex/products/part-detail/crimp_housings/0050375023" TargetMode="External"/><Relationship Id="rId34" Type="http://schemas.openxmlformats.org/officeDocument/2006/relationships/hyperlink" Target="https://products.lappgroup.com/online-catalogue/power-and-control-cables/oelflex-connect-systems-solutions/spiralised/oelflex-spiral-400-p.html" TargetMode="External"/><Relationship Id="rId50" Type="http://schemas.openxmlformats.org/officeDocument/2006/relationships/hyperlink" Target="https://metalkorpus.ru/produkciya/furnitura-dlya-metallicheskih-shkafov-i-podstanciy/ruchki/" TargetMode="External"/><Relationship Id="rId55" Type="http://schemas.openxmlformats.org/officeDocument/2006/relationships/hyperlink" Target="https://navi-expert.ru/p370618084-rap-397bnhu-shar.html" TargetMode="External"/><Relationship Id="rId76" Type="http://schemas.openxmlformats.org/officeDocument/2006/relationships/hyperlink" Target="https://www.elitan.ru/price/item306194" TargetMode="External"/><Relationship Id="rId97" Type="http://schemas.openxmlformats.org/officeDocument/2006/relationships/hyperlink" Target="https://www.molex.com/molex/search/partSearch?pQuery=&amp;sType=s&amp;query=5263" TargetMode="External"/><Relationship Id="rId104" Type="http://schemas.openxmlformats.org/officeDocument/2006/relationships/hyperlink" Target="https://www.molex.com/molex/search/partSearch?pQuery=&amp;sType=s&amp;query=5263" TargetMode="External"/><Relationship Id="rId7" Type="http://schemas.openxmlformats.org/officeDocument/2006/relationships/hyperlink" Target="https://keaz.ru/catalog/sredstva-montaja-aksessuari-nku/aksessuari-dlya-nku/aksessuari-din-reyki/234382" TargetMode="External"/><Relationship Id="rId71" Type="http://schemas.openxmlformats.org/officeDocument/2006/relationships/hyperlink" Target="https://www.tme.eu/ru/details/fix-mad-2.2/diubeli-plastmassovye/fix-fasten/" TargetMode="External"/><Relationship Id="rId92" Type="http://schemas.openxmlformats.org/officeDocument/2006/relationships/hyperlink" Target="https://www.molex.com/molex/search/partSearch?pQuery=&amp;sType=s&amp;query=5263" TargetMode="External"/><Relationship Id="rId2" Type="http://schemas.openxmlformats.org/officeDocument/2006/relationships/hyperlink" Target="http://www.rct.ru/warehouse/80004122/80027959.html" TargetMode="External"/><Relationship Id="rId29" Type="http://schemas.openxmlformats.org/officeDocument/2006/relationships/hyperlink" Target="https://www.phoenixcontact.com/online/portal/ru?uri=pxc-oc-itemdetail:pid=1554652&amp;library=ruru&amp;tab=1&amp;requestType=product&amp;productId=1554652&amp;productDetection=true&amp;redirectTarget=country&amp;redirectTo=RU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</sheetPr>
  <dimension ref="A1:AD1209"/>
  <sheetViews>
    <sheetView showGridLines="0" tabSelected="1" zoomScale="90" zoomScaleNormal="90" workbookViewId="0">
      <pane ySplit="3" topLeftCell="A4" activePane="bottomLeft" state="frozen"/>
      <selection pane="bottomLeft" activeCell="AB12" sqref="AB12"/>
    </sheetView>
  </sheetViews>
  <sheetFormatPr defaultRowHeight="15" outlineLevelRow="5" x14ac:dyDescent="0.25"/>
  <cols>
    <col min="1" max="19" width="2.85546875" customWidth="1"/>
    <col min="20" max="20" width="35.140625" customWidth="1"/>
    <col min="21" max="21" width="20.5703125" customWidth="1"/>
    <col min="22" max="22" width="8.28515625" customWidth="1"/>
    <col min="23" max="23" width="3" customWidth="1"/>
    <col min="24" max="24" width="15.42578125" customWidth="1"/>
    <col min="25" max="25" width="9.5703125" customWidth="1"/>
    <col min="26" max="26" width="6.5703125" style="95" customWidth="1"/>
    <col min="27" max="27" width="11.85546875" customWidth="1"/>
    <col min="28" max="28" width="13.5703125" customWidth="1"/>
    <col min="29" max="29" width="83.140625" customWidth="1"/>
  </cols>
  <sheetData>
    <row r="1" spans="1:30" ht="32.25" customHeight="1" x14ac:dyDescent="0.25">
      <c r="G1" s="74" t="s">
        <v>1928</v>
      </c>
      <c r="U1" s="104" t="s">
        <v>2061</v>
      </c>
      <c r="V1" s="105"/>
      <c r="W1" s="105"/>
      <c r="X1" s="105"/>
      <c r="Y1" s="105"/>
      <c r="Z1" s="106"/>
      <c r="AA1" s="105"/>
      <c r="AB1" s="105"/>
      <c r="AC1" s="105"/>
    </row>
    <row r="2" spans="1:30" s="7" customFormat="1" ht="15.75" thickBot="1" x14ac:dyDescent="0.3">
      <c r="A2" s="6">
        <v>1</v>
      </c>
      <c r="B2" s="6">
        <v>2</v>
      </c>
      <c r="C2" s="6">
        <v>3</v>
      </c>
      <c r="D2" s="6">
        <v>4</v>
      </c>
      <c r="E2" s="6">
        <v>5</v>
      </c>
      <c r="F2" s="6">
        <v>6</v>
      </c>
      <c r="G2" s="6">
        <v>7</v>
      </c>
      <c r="H2" s="6">
        <v>8</v>
      </c>
      <c r="I2" s="6">
        <v>9</v>
      </c>
      <c r="J2" s="6">
        <v>10</v>
      </c>
      <c r="K2" s="6">
        <v>11</v>
      </c>
      <c r="L2" s="6">
        <v>12</v>
      </c>
      <c r="M2" s="6">
        <v>13</v>
      </c>
      <c r="N2" s="6">
        <v>14</v>
      </c>
      <c r="O2" s="6">
        <v>15</v>
      </c>
      <c r="P2" s="6">
        <v>16</v>
      </c>
      <c r="Q2" s="6">
        <v>17</v>
      </c>
      <c r="R2" s="6">
        <v>18</v>
      </c>
      <c r="S2" s="6">
        <v>19</v>
      </c>
      <c r="T2" s="6" t="s">
        <v>1125</v>
      </c>
      <c r="U2" s="73">
        <f>MaxNumLineTree()</f>
        <v>1209</v>
      </c>
      <c r="V2" s="7" t="s">
        <v>223</v>
      </c>
      <c r="W2" s="12"/>
      <c r="Z2" s="96"/>
      <c r="AA2" s="8"/>
      <c r="AB2" s="8"/>
    </row>
    <row r="3" spans="1:30" s="12" customFormat="1" ht="15.75" thickBot="1" x14ac:dyDescent="0.3">
      <c r="A3" s="111" t="s">
        <v>637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3"/>
      <c r="U3" s="9" t="s">
        <v>0</v>
      </c>
      <c r="V3" s="10" t="s">
        <v>1</v>
      </c>
      <c r="W3" s="10" t="s">
        <v>1017</v>
      </c>
      <c r="X3" s="10" t="s">
        <v>2</v>
      </c>
      <c r="Y3" s="10" t="s">
        <v>3</v>
      </c>
      <c r="Z3" s="102" t="s">
        <v>2000</v>
      </c>
      <c r="AA3" s="11" t="s">
        <v>156</v>
      </c>
      <c r="AB3" s="11" t="s">
        <v>2088</v>
      </c>
      <c r="AC3" s="10" t="s">
        <v>155</v>
      </c>
      <c r="AD3" s="7"/>
    </row>
    <row r="4" spans="1:30" s="7" customFormat="1" x14ac:dyDescent="0.25">
      <c r="A4" s="5" t="s">
        <v>2573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4" t="s">
        <v>2220</v>
      </c>
      <c r="V4" s="15"/>
      <c r="W4" s="46"/>
      <c r="X4" s="15"/>
      <c r="Y4" s="15"/>
      <c r="Z4" s="97"/>
      <c r="AA4" s="16"/>
      <c r="AB4" s="16"/>
      <c r="AC4" s="15"/>
    </row>
    <row r="5" spans="1:30" s="13" customFormat="1" x14ac:dyDescent="0.25">
      <c r="A5" s="1" t="s">
        <v>4</v>
      </c>
      <c r="B5" s="5" t="s">
        <v>2173</v>
      </c>
      <c r="U5" s="53" t="s">
        <v>2221</v>
      </c>
      <c r="V5" s="18">
        <v>1</v>
      </c>
      <c r="W5" s="47" t="s">
        <v>1019</v>
      </c>
      <c r="X5" s="18"/>
      <c r="Y5" s="18"/>
      <c r="Z5" s="98">
        <v>1</v>
      </c>
      <c r="AA5" s="19"/>
      <c r="AB5" s="19"/>
      <c r="AC5" s="20" t="s">
        <v>1037</v>
      </c>
      <c r="AD5" s="7"/>
    </row>
    <row r="6" spans="1:30" s="7" customFormat="1" outlineLevel="1" x14ac:dyDescent="0.25">
      <c r="A6" s="1" t="s">
        <v>5</v>
      </c>
      <c r="B6" s="1" t="s">
        <v>4</v>
      </c>
      <c r="C6" s="5" t="s">
        <v>2174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53" t="s">
        <v>2222</v>
      </c>
      <c r="V6" s="18">
        <v>1</v>
      </c>
      <c r="W6" s="47" t="s">
        <v>1019</v>
      </c>
      <c r="X6" s="18"/>
      <c r="Y6" s="18"/>
      <c r="Z6" s="98" t="s">
        <v>1984</v>
      </c>
      <c r="AA6" s="19"/>
      <c r="AB6" s="19"/>
      <c r="AC6" s="18" t="s">
        <v>1096</v>
      </c>
    </row>
    <row r="7" spans="1:30" s="13" customFormat="1" outlineLevel="2" x14ac:dyDescent="0.25">
      <c r="A7" s="1" t="s">
        <v>5</v>
      </c>
      <c r="B7" s="1" t="s">
        <v>5</v>
      </c>
      <c r="C7" s="1" t="s">
        <v>4</v>
      </c>
      <c r="D7" s="5" t="s">
        <v>2128</v>
      </c>
      <c r="U7" s="17" t="s">
        <v>2444</v>
      </c>
      <c r="V7" s="18">
        <v>1</v>
      </c>
      <c r="W7" s="47" t="s">
        <v>1019</v>
      </c>
      <c r="X7" s="18"/>
      <c r="Y7" s="21"/>
      <c r="Z7" s="98"/>
      <c r="AA7" s="19"/>
      <c r="AB7" s="19"/>
      <c r="AC7" s="18"/>
      <c r="AD7" s="7"/>
    </row>
    <row r="8" spans="1:30" s="13" customFormat="1" outlineLevel="3" x14ac:dyDescent="0.25">
      <c r="A8" s="2" t="s">
        <v>5</v>
      </c>
      <c r="B8" s="2" t="s">
        <v>5</v>
      </c>
      <c r="C8" s="2" t="s">
        <v>5</v>
      </c>
      <c r="D8" s="2" t="s">
        <v>4</v>
      </c>
      <c r="E8" s="42" t="s">
        <v>277</v>
      </c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63" t="s">
        <v>2445</v>
      </c>
      <c r="V8" s="43">
        <v>1</v>
      </c>
      <c r="W8" s="49" t="s">
        <v>1019</v>
      </c>
      <c r="X8" s="43"/>
      <c r="Y8" s="64"/>
      <c r="Z8" s="99"/>
      <c r="AA8" s="44"/>
      <c r="AB8" s="44"/>
      <c r="AC8" s="43"/>
      <c r="AD8" s="7"/>
    </row>
    <row r="9" spans="1:30" s="13" customFormat="1" outlineLevel="3" x14ac:dyDescent="0.25">
      <c r="A9" s="2" t="s">
        <v>5</v>
      </c>
      <c r="B9" s="2" t="s">
        <v>5</v>
      </c>
      <c r="C9" s="2" t="s">
        <v>5</v>
      </c>
      <c r="D9" s="2" t="s">
        <v>4</v>
      </c>
      <c r="E9" s="41" t="s">
        <v>551</v>
      </c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63" t="s">
        <v>2446</v>
      </c>
      <c r="V9" s="43">
        <v>1</v>
      </c>
      <c r="W9" s="49" t="s">
        <v>1019</v>
      </c>
      <c r="X9" s="43"/>
      <c r="Y9" s="64"/>
      <c r="Z9" s="99"/>
      <c r="AA9" s="44"/>
      <c r="AB9" s="44"/>
      <c r="AC9" s="43"/>
      <c r="AD9" s="7"/>
    </row>
    <row r="10" spans="1:30" s="13" customFormat="1" outlineLevel="4" x14ac:dyDescent="0.25">
      <c r="A10" s="2" t="s">
        <v>5</v>
      </c>
      <c r="B10" s="2" t="s">
        <v>5</v>
      </c>
      <c r="C10" s="2" t="s">
        <v>5</v>
      </c>
      <c r="D10" s="2" t="s">
        <v>5</v>
      </c>
      <c r="E10" s="2" t="s">
        <v>4</v>
      </c>
      <c r="F10" s="41" t="s">
        <v>551</v>
      </c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63" t="s">
        <v>2447</v>
      </c>
      <c r="V10" s="43">
        <v>1</v>
      </c>
      <c r="W10" s="49"/>
      <c r="X10" s="43"/>
      <c r="Y10" s="64"/>
      <c r="Z10" s="99"/>
      <c r="AA10" s="44"/>
      <c r="AB10" s="44"/>
      <c r="AC10" s="43"/>
      <c r="AD10" s="7"/>
    </row>
    <row r="11" spans="1:30" s="13" customFormat="1" outlineLevel="5" x14ac:dyDescent="0.25">
      <c r="A11" s="2" t="s">
        <v>5</v>
      </c>
      <c r="B11" s="2" t="s">
        <v>5</v>
      </c>
      <c r="C11" s="2" t="s">
        <v>5</v>
      </c>
      <c r="D11" s="2" t="s">
        <v>5</v>
      </c>
      <c r="E11" s="2" t="s">
        <v>5</v>
      </c>
      <c r="F11" s="2" t="s">
        <v>4</v>
      </c>
      <c r="G11" s="42" t="s">
        <v>551</v>
      </c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63" t="s">
        <v>2448</v>
      </c>
      <c r="V11" s="43">
        <v>1</v>
      </c>
      <c r="W11" s="49"/>
      <c r="X11" s="43"/>
      <c r="Y11" s="64"/>
      <c r="Z11" s="99"/>
      <c r="AA11" s="44"/>
      <c r="AB11" s="44"/>
      <c r="AC11" s="43"/>
      <c r="AD11" s="7"/>
    </row>
    <row r="12" spans="1:30" s="7" customFormat="1" outlineLevel="5" x14ac:dyDescent="0.25">
      <c r="A12" s="2" t="s">
        <v>5</v>
      </c>
      <c r="B12" s="2" t="s">
        <v>5</v>
      </c>
      <c r="C12" s="2" t="s">
        <v>5</v>
      </c>
      <c r="D12" s="2" t="s">
        <v>5</v>
      </c>
      <c r="E12" s="2" t="s">
        <v>5</v>
      </c>
      <c r="F12" s="2" t="s">
        <v>49</v>
      </c>
      <c r="G12" s="42" t="s">
        <v>321</v>
      </c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57"/>
      <c r="U12" s="63" t="s">
        <v>2449</v>
      </c>
      <c r="V12" s="43">
        <v>1</v>
      </c>
      <c r="W12" s="49"/>
      <c r="X12" s="43"/>
      <c r="Y12" s="64"/>
      <c r="Z12" s="99"/>
      <c r="AA12" s="44"/>
      <c r="AB12" s="44"/>
      <c r="AC12" s="43"/>
    </row>
    <row r="13" spans="1:30" s="13" customFormat="1" outlineLevel="4" x14ac:dyDescent="0.25">
      <c r="A13" s="2" t="s">
        <v>5</v>
      </c>
      <c r="B13" s="2" t="s">
        <v>5</v>
      </c>
      <c r="C13" s="2" t="s">
        <v>5</v>
      </c>
      <c r="D13" s="2" t="s">
        <v>5</v>
      </c>
      <c r="E13" s="2" t="s">
        <v>4</v>
      </c>
      <c r="F13" s="42" t="s">
        <v>570</v>
      </c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63" t="s">
        <v>2450</v>
      </c>
      <c r="V13" s="43">
        <v>1</v>
      </c>
      <c r="W13" s="49"/>
      <c r="X13" s="43"/>
      <c r="Y13" s="64"/>
      <c r="Z13" s="99"/>
      <c r="AA13" s="44"/>
      <c r="AB13" s="44"/>
      <c r="AC13" s="43"/>
      <c r="AD13" s="7"/>
    </row>
    <row r="14" spans="1:30" s="7" customFormat="1" outlineLevel="4" x14ac:dyDescent="0.25">
      <c r="A14" s="2" t="s">
        <v>5</v>
      </c>
      <c r="B14" s="2" t="s">
        <v>5</v>
      </c>
      <c r="C14" s="2" t="s">
        <v>5</v>
      </c>
      <c r="D14" s="2" t="s">
        <v>5</v>
      </c>
      <c r="E14" s="2" t="s">
        <v>4</v>
      </c>
      <c r="F14" s="42" t="s">
        <v>571</v>
      </c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57"/>
      <c r="U14" s="63" t="s">
        <v>2451</v>
      </c>
      <c r="V14" s="43">
        <v>1</v>
      </c>
      <c r="W14" s="49"/>
      <c r="X14" s="43"/>
      <c r="Y14" s="64"/>
      <c r="Z14" s="99"/>
      <c r="AA14" s="44"/>
      <c r="AB14" s="44"/>
      <c r="AC14" s="43"/>
    </row>
    <row r="15" spans="1:30" s="7" customFormat="1" outlineLevel="4" x14ac:dyDescent="0.25">
      <c r="A15" s="2" t="s">
        <v>5</v>
      </c>
      <c r="B15" s="2" t="s">
        <v>5</v>
      </c>
      <c r="C15" s="2" t="s">
        <v>5</v>
      </c>
      <c r="D15" s="2" t="s">
        <v>5</v>
      </c>
      <c r="E15" s="2" t="s">
        <v>4</v>
      </c>
      <c r="F15" s="42" t="s">
        <v>572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57"/>
      <c r="U15" s="63"/>
      <c r="V15" s="43">
        <v>4</v>
      </c>
      <c r="W15" s="49"/>
      <c r="X15" s="43"/>
      <c r="Y15" s="64"/>
      <c r="Z15" s="99"/>
      <c r="AA15" s="44"/>
      <c r="AB15" s="44"/>
      <c r="AC15" s="43"/>
    </row>
    <row r="16" spans="1:30" s="7" customFormat="1" outlineLevel="4" x14ac:dyDescent="0.25">
      <c r="A16" s="2" t="s">
        <v>5</v>
      </c>
      <c r="B16" s="2" t="s">
        <v>5</v>
      </c>
      <c r="C16" s="2" t="s">
        <v>5</v>
      </c>
      <c r="D16" s="2" t="s">
        <v>5</v>
      </c>
      <c r="E16" s="2" t="s">
        <v>4</v>
      </c>
      <c r="F16" s="42" t="s">
        <v>329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57"/>
      <c r="U16" s="63"/>
      <c r="V16" s="43">
        <v>4</v>
      </c>
      <c r="W16" s="49"/>
      <c r="X16" s="43"/>
      <c r="Y16" s="64"/>
      <c r="Z16" s="99"/>
      <c r="AA16" s="44"/>
      <c r="AB16" s="44"/>
      <c r="AC16" s="43"/>
    </row>
    <row r="17" spans="1:30" s="7" customFormat="1" outlineLevel="4" x14ac:dyDescent="0.25">
      <c r="A17" s="2" t="s">
        <v>5</v>
      </c>
      <c r="B17" s="2" t="s">
        <v>5</v>
      </c>
      <c r="C17" s="2" t="s">
        <v>5</v>
      </c>
      <c r="D17" s="2" t="s">
        <v>5</v>
      </c>
      <c r="E17" s="2" t="s">
        <v>4</v>
      </c>
      <c r="F17" s="42" t="s">
        <v>573</v>
      </c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57"/>
      <c r="U17" s="63"/>
      <c r="V17" s="43">
        <v>2</v>
      </c>
      <c r="W17" s="49"/>
      <c r="X17" s="43"/>
      <c r="Y17" s="64"/>
      <c r="Z17" s="99"/>
      <c r="AA17" s="44"/>
      <c r="AB17" s="44"/>
      <c r="AC17" s="43"/>
    </row>
    <row r="18" spans="1:30" s="7" customFormat="1" outlineLevel="4" x14ac:dyDescent="0.25">
      <c r="A18" s="2" t="s">
        <v>5</v>
      </c>
      <c r="B18" s="2" t="s">
        <v>5</v>
      </c>
      <c r="C18" s="2" t="s">
        <v>5</v>
      </c>
      <c r="D18" s="2" t="s">
        <v>5</v>
      </c>
      <c r="E18" s="2" t="s">
        <v>49</v>
      </c>
      <c r="F18" s="42" t="s">
        <v>574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57"/>
      <c r="U18" s="63"/>
      <c r="V18" s="43">
        <v>2</v>
      </c>
      <c r="W18" s="49"/>
      <c r="X18" s="43"/>
      <c r="Y18" s="64"/>
      <c r="Z18" s="99"/>
      <c r="AA18" s="44"/>
      <c r="AB18" s="44"/>
      <c r="AC18" s="43"/>
    </row>
    <row r="19" spans="1:30" s="13" customFormat="1" outlineLevel="3" x14ac:dyDescent="0.25">
      <c r="A19" s="2" t="s">
        <v>5</v>
      </c>
      <c r="B19" s="2" t="s">
        <v>5</v>
      </c>
      <c r="C19" s="2" t="s">
        <v>5</v>
      </c>
      <c r="D19" s="2" t="s">
        <v>4</v>
      </c>
      <c r="E19" s="41" t="s">
        <v>552</v>
      </c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63" t="s">
        <v>2452</v>
      </c>
      <c r="V19" s="43">
        <v>1</v>
      </c>
      <c r="W19" s="49" t="s">
        <v>1019</v>
      </c>
      <c r="X19" s="43"/>
      <c r="Y19" s="64"/>
      <c r="Z19" s="99"/>
      <c r="AA19" s="44"/>
      <c r="AB19" s="44"/>
      <c r="AC19" s="43"/>
      <c r="AD19" s="7"/>
    </row>
    <row r="20" spans="1:30" s="7" customFormat="1" outlineLevel="4" x14ac:dyDescent="0.25">
      <c r="A20" s="2" t="s">
        <v>5</v>
      </c>
      <c r="B20" s="2" t="s">
        <v>5</v>
      </c>
      <c r="C20" s="2" t="s">
        <v>5</v>
      </c>
      <c r="D20" s="2" t="s">
        <v>5</v>
      </c>
      <c r="E20" s="2" t="s">
        <v>4</v>
      </c>
      <c r="F20" s="42" t="s">
        <v>552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57"/>
      <c r="U20" s="63" t="s">
        <v>2453</v>
      </c>
      <c r="V20" s="43">
        <v>1</v>
      </c>
      <c r="W20" s="49"/>
      <c r="X20" s="43"/>
      <c r="Y20" s="64"/>
      <c r="Z20" s="99"/>
      <c r="AA20" s="44"/>
      <c r="AB20" s="44"/>
      <c r="AC20" s="43"/>
    </row>
    <row r="21" spans="1:30" s="7" customFormat="1" outlineLevel="4" x14ac:dyDescent="0.25">
      <c r="A21" s="2" t="s">
        <v>5</v>
      </c>
      <c r="B21" s="2" t="s">
        <v>5</v>
      </c>
      <c r="C21" s="2" t="s">
        <v>5</v>
      </c>
      <c r="D21" s="2" t="s">
        <v>5</v>
      </c>
      <c r="E21" s="2" t="s">
        <v>4</v>
      </c>
      <c r="F21" s="42" t="s">
        <v>571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57"/>
      <c r="U21" s="63" t="s">
        <v>2454</v>
      </c>
      <c r="V21" s="43">
        <v>1</v>
      </c>
      <c r="W21" s="49"/>
      <c r="X21" s="43"/>
      <c r="Y21" s="64"/>
      <c r="Z21" s="99"/>
      <c r="AA21" s="44"/>
      <c r="AB21" s="44"/>
      <c r="AC21" s="43"/>
    </row>
    <row r="22" spans="1:30" s="7" customFormat="1" outlineLevel="4" x14ac:dyDescent="0.25">
      <c r="A22" s="2" t="s">
        <v>5</v>
      </c>
      <c r="B22" s="2" t="s">
        <v>5</v>
      </c>
      <c r="C22" s="2" t="s">
        <v>5</v>
      </c>
      <c r="D22" s="2" t="s">
        <v>5</v>
      </c>
      <c r="E22" s="2" t="s">
        <v>4</v>
      </c>
      <c r="F22" s="42" t="s">
        <v>573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57"/>
      <c r="U22" s="63"/>
      <c r="V22" s="43">
        <v>2</v>
      </c>
      <c r="W22" s="49"/>
      <c r="X22" s="43"/>
      <c r="Y22" s="64"/>
      <c r="Z22" s="99"/>
      <c r="AA22" s="44"/>
      <c r="AB22" s="44"/>
      <c r="AC22" s="43"/>
    </row>
    <row r="23" spans="1:30" s="7" customFormat="1" outlineLevel="4" x14ac:dyDescent="0.25">
      <c r="A23" s="2" t="s">
        <v>5</v>
      </c>
      <c r="B23" s="2" t="s">
        <v>5</v>
      </c>
      <c r="C23" s="2" t="s">
        <v>5</v>
      </c>
      <c r="D23" s="2" t="s">
        <v>5</v>
      </c>
      <c r="E23" s="2" t="s">
        <v>49</v>
      </c>
      <c r="F23" s="42" t="s">
        <v>574</v>
      </c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57"/>
      <c r="U23" s="63"/>
      <c r="V23" s="43">
        <v>2</v>
      </c>
      <c r="W23" s="49"/>
      <c r="X23" s="43"/>
      <c r="Y23" s="64"/>
      <c r="Z23" s="99"/>
      <c r="AA23" s="44"/>
      <c r="AB23" s="44"/>
      <c r="AC23" s="43"/>
    </row>
    <row r="24" spans="1:30" s="13" customFormat="1" outlineLevel="3" x14ac:dyDescent="0.25">
      <c r="A24" s="2" t="s">
        <v>5</v>
      </c>
      <c r="B24" s="2" t="s">
        <v>5</v>
      </c>
      <c r="C24" s="2" t="s">
        <v>5</v>
      </c>
      <c r="D24" s="2" t="s">
        <v>4</v>
      </c>
      <c r="E24" s="41" t="s">
        <v>553</v>
      </c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63" t="s">
        <v>2455</v>
      </c>
      <c r="V24" s="43">
        <v>2</v>
      </c>
      <c r="W24" s="49" t="s">
        <v>1019</v>
      </c>
      <c r="X24" s="43"/>
      <c r="Y24" s="64"/>
      <c r="Z24" s="99"/>
      <c r="AA24" s="44"/>
      <c r="AB24" s="44"/>
      <c r="AC24" s="43"/>
      <c r="AD24" s="7"/>
    </row>
    <row r="25" spans="1:30" s="7" customFormat="1" outlineLevel="4" x14ac:dyDescent="0.25">
      <c r="A25" s="2" t="s">
        <v>5</v>
      </c>
      <c r="B25" s="2" t="s">
        <v>5</v>
      </c>
      <c r="C25" s="2" t="s">
        <v>5</v>
      </c>
      <c r="D25" s="2" t="s">
        <v>5</v>
      </c>
      <c r="E25" s="2" t="s">
        <v>4</v>
      </c>
      <c r="F25" s="41" t="s">
        <v>575</v>
      </c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57"/>
      <c r="U25" s="63" t="s">
        <v>2456</v>
      </c>
      <c r="V25" s="43">
        <v>1</v>
      </c>
      <c r="W25" s="49"/>
      <c r="X25" s="43"/>
      <c r="Y25" s="64"/>
      <c r="Z25" s="99"/>
      <c r="AA25" s="44"/>
      <c r="AB25" s="44"/>
      <c r="AC25" s="43"/>
    </row>
    <row r="26" spans="1:30" s="7" customFormat="1" outlineLevel="5" x14ac:dyDescent="0.25">
      <c r="A26" s="2" t="s">
        <v>5</v>
      </c>
      <c r="B26" s="2" t="s">
        <v>5</v>
      </c>
      <c r="C26" s="2" t="s">
        <v>5</v>
      </c>
      <c r="D26" s="2" t="s">
        <v>5</v>
      </c>
      <c r="E26" s="2" t="s">
        <v>5</v>
      </c>
      <c r="F26" s="2" t="s">
        <v>4</v>
      </c>
      <c r="G26" s="42" t="s">
        <v>575</v>
      </c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57"/>
      <c r="U26" s="63" t="s">
        <v>2457</v>
      </c>
      <c r="V26" s="43">
        <v>1</v>
      </c>
      <c r="W26" s="49"/>
      <c r="X26" s="43"/>
      <c r="Y26" s="64"/>
      <c r="Z26" s="99"/>
      <c r="AA26" s="44"/>
      <c r="AB26" s="44"/>
      <c r="AC26" s="43"/>
    </row>
    <row r="27" spans="1:30" s="7" customFormat="1" outlineLevel="5" x14ac:dyDescent="0.25">
      <c r="A27" s="2" t="s">
        <v>5</v>
      </c>
      <c r="B27" s="2" t="s">
        <v>5</v>
      </c>
      <c r="C27" s="2" t="s">
        <v>5</v>
      </c>
      <c r="D27" s="2" t="s">
        <v>5</v>
      </c>
      <c r="E27" s="2" t="s">
        <v>5</v>
      </c>
      <c r="F27" s="2" t="s">
        <v>4</v>
      </c>
      <c r="G27" s="42" t="s">
        <v>577</v>
      </c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57"/>
      <c r="U27" s="63" t="s">
        <v>2458</v>
      </c>
      <c r="V27" s="43">
        <v>1</v>
      </c>
      <c r="W27" s="49"/>
      <c r="X27" s="43"/>
      <c r="Y27" s="64"/>
      <c r="Z27" s="99"/>
      <c r="AA27" s="44"/>
      <c r="AB27" s="44"/>
      <c r="AC27" s="43"/>
    </row>
    <row r="28" spans="1:30" s="7" customFormat="1" outlineLevel="4" x14ac:dyDescent="0.25">
      <c r="A28" s="2" t="s">
        <v>5</v>
      </c>
      <c r="B28" s="2" t="s">
        <v>5</v>
      </c>
      <c r="C28" s="2" t="s">
        <v>5</v>
      </c>
      <c r="D28" s="2" t="s">
        <v>5</v>
      </c>
      <c r="E28" s="2" t="s">
        <v>49</v>
      </c>
      <c r="F28" s="42" t="s">
        <v>576</v>
      </c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57"/>
      <c r="U28" s="63" t="s">
        <v>2459</v>
      </c>
      <c r="V28" s="43">
        <v>1</v>
      </c>
      <c r="W28" s="49"/>
      <c r="X28" s="43"/>
      <c r="Y28" s="64"/>
      <c r="Z28" s="99"/>
      <c r="AA28" s="44"/>
      <c r="AB28" s="44"/>
      <c r="AC28" s="43"/>
    </row>
    <row r="29" spans="1:30" s="13" customFormat="1" outlineLevel="3" x14ac:dyDescent="0.25">
      <c r="A29" s="2" t="s">
        <v>5</v>
      </c>
      <c r="B29" s="2" t="s">
        <v>5</v>
      </c>
      <c r="C29" s="2" t="s">
        <v>5</v>
      </c>
      <c r="D29" s="2" t="s">
        <v>4</v>
      </c>
      <c r="E29" s="41" t="s">
        <v>554</v>
      </c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63" t="s">
        <v>2460</v>
      </c>
      <c r="V29" s="43">
        <v>1</v>
      </c>
      <c r="W29" s="49" t="s">
        <v>1019</v>
      </c>
      <c r="X29" s="43"/>
      <c r="Y29" s="64"/>
      <c r="Z29" s="99"/>
      <c r="AA29" s="44"/>
      <c r="AB29" s="44"/>
      <c r="AC29" s="43"/>
      <c r="AD29" s="7"/>
    </row>
    <row r="30" spans="1:30" s="7" customFormat="1" outlineLevel="4" x14ac:dyDescent="0.25">
      <c r="A30" s="2" t="s">
        <v>5</v>
      </c>
      <c r="B30" s="2" t="s">
        <v>5</v>
      </c>
      <c r="C30" s="2" t="s">
        <v>5</v>
      </c>
      <c r="D30" s="2" t="s">
        <v>5</v>
      </c>
      <c r="E30" s="2" t="s">
        <v>4</v>
      </c>
      <c r="F30" s="42" t="s">
        <v>555</v>
      </c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57"/>
      <c r="U30" s="63" t="s">
        <v>2461</v>
      </c>
      <c r="V30" s="43">
        <v>2</v>
      </c>
      <c r="W30" s="49"/>
      <c r="X30" s="43"/>
      <c r="Y30" s="64"/>
      <c r="Z30" s="99"/>
      <c r="AA30" s="44"/>
      <c r="AB30" s="44"/>
      <c r="AC30" s="43"/>
    </row>
    <row r="31" spans="1:30" s="7" customFormat="1" outlineLevel="4" x14ac:dyDescent="0.25">
      <c r="A31" s="2" t="s">
        <v>5</v>
      </c>
      <c r="B31" s="2" t="s">
        <v>5</v>
      </c>
      <c r="C31" s="2" t="s">
        <v>5</v>
      </c>
      <c r="D31" s="2" t="s">
        <v>5</v>
      </c>
      <c r="E31" s="2" t="s">
        <v>4</v>
      </c>
      <c r="F31" s="42" t="s">
        <v>321</v>
      </c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57"/>
      <c r="U31" s="63" t="s">
        <v>2462</v>
      </c>
      <c r="V31" s="43">
        <v>2</v>
      </c>
      <c r="W31" s="49"/>
      <c r="X31" s="43"/>
      <c r="Y31" s="64"/>
      <c r="Z31" s="99"/>
      <c r="AA31" s="44"/>
      <c r="AB31" s="44"/>
      <c r="AC31" s="43"/>
    </row>
    <row r="32" spans="1:30" s="7" customFormat="1" outlineLevel="4" x14ac:dyDescent="0.25">
      <c r="A32" s="2" t="s">
        <v>5</v>
      </c>
      <c r="B32" s="2" t="s">
        <v>5</v>
      </c>
      <c r="C32" s="2" t="s">
        <v>5</v>
      </c>
      <c r="D32" s="2" t="s">
        <v>5</v>
      </c>
      <c r="E32" s="2" t="s">
        <v>4</v>
      </c>
      <c r="F32" s="42" t="s">
        <v>578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57"/>
      <c r="U32" s="63" t="s">
        <v>2463</v>
      </c>
      <c r="V32" s="43">
        <v>2</v>
      </c>
      <c r="W32" s="49"/>
      <c r="X32" s="43"/>
      <c r="Y32" s="63" t="s">
        <v>579</v>
      </c>
      <c r="Z32" s="99"/>
      <c r="AA32" s="44"/>
      <c r="AB32" s="44"/>
      <c r="AC32" s="43"/>
    </row>
    <row r="33" spans="1:30" s="7" customFormat="1" outlineLevel="4" x14ac:dyDescent="0.25">
      <c r="A33" s="2" t="s">
        <v>5</v>
      </c>
      <c r="B33" s="2" t="s">
        <v>5</v>
      </c>
      <c r="C33" s="2" t="s">
        <v>5</v>
      </c>
      <c r="D33" s="2" t="s">
        <v>5</v>
      </c>
      <c r="E33" s="2" t="s">
        <v>4</v>
      </c>
      <c r="F33" s="42" t="s">
        <v>555</v>
      </c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57"/>
      <c r="U33" s="63" t="s">
        <v>2464</v>
      </c>
      <c r="V33" s="43">
        <v>1</v>
      </c>
      <c r="W33" s="49"/>
      <c r="X33" s="43"/>
      <c r="Y33" s="63" t="s">
        <v>580</v>
      </c>
      <c r="Z33" s="99"/>
      <c r="AA33" s="44"/>
      <c r="AB33" s="44"/>
      <c r="AC33" s="43"/>
    </row>
    <row r="34" spans="1:30" s="7" customFormat="1" outlineLevel="4" x14ac:dyDescent="0.25">
      <c r="A34" s="2" t="s">
        <v>5</v>
      </c>
      <c r="B34" s="2" t="s">
        <v>5</v>
      </c>
      <c r="C34" s="2" t="s">
        <v>5</v>
      </c>
      <c r="D34" s="2" t="s">
        <v>5</v>
      </c>
      <c r="E34" s="2" t="s">
        <v>4</v>
      </c>
      <c r="F34" s="42" t="s">
        <v>211</v>
      </c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57"/>
      <c r="U34" s="63" t="s">
        <v>2465</v>
      </c>
      <c r="V34" s="43">
        <v>2</v>
      </c>
      <c r="W34" s="49"/>
      <c r="X34" s="43"/>
      <c r="Y34" s="64"/>
      <c r="Z34" s="99"/>
      <c r="AA34" s="44"/>
      <c r="AB34" s="44"/>
      <c r="AC34" s="43"/>
    </row>
    <row r="35" spans="1:30" s="7" customFormat="1" outlineLevel="4" x14ac:dyDescent="0.25">
      <c r="A35" s="2" t="s">
        <v>5</v>
      </c>
      <c r="B35" s="2" t="s">
        <v>5</v>
      </c>
      <c r="C35" s="2" t="s">
        <v>5</v>
      </c>
      <c r="D35" s="2" t="s">
        <v>5</v>
      </c>
      <c r="E35" s="2" t="s">
        <v>4</v>
      </c>
      <c r="F35" s="42" t="s">
        <v>581</v>
      </c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57"/>
      <c r="U35" s="63" t="s">
        <v>2466</v>
      </c>
      <c r="V35" s="43">
        <v>1</v>
      </c>
      <c r="W35" s="49"/>
      <c r="X35" s="43"/>
      <c r="Y35" s="64"/>
      <c r="Z35" s="99"/>
      <c r="AA35" s="44"/>
      <c r="AB35" s="44"/>
      <c r="AC35" s="43"/>
    </row>
    <row r="36" spans="1:30" s="7" customFormat="1" outlineLevel="4" x14ac:dyDescent="0.25">
      <c r="A36" s="2" t="s">
        <v>5</v>
      </c>
      <c r="B36" s="2" t="s">
        <v>5</v>
      </c>
      <c r="C36" s="2" t="s">
        <v>5</v>
      </c>
      <c r="D36" s="2" t="s">
        <v>5</v>
      </c>
      <c r="E36" s="2" t="s">
        <v>4</v>
      </c>
      <c r="F36" s="42" t="s">
        <v>581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57"/>
      <c r="U36" s="63" t="s">
        <v>2467</v>
      </c>
      <c r="V36" s="43">
        <v>1</v>
      </c>
      <c r="W36" s="49"/>
      <c r="X36" s="43"/>
      <c r="Y36" s="65"/>
      <c r="Z36" s="99"/>
      <c r="AA36" s="44"/>
      <c r="AB36" s="44"/>
      <c r="AC36" s="43"/>
    </row>
    <row r="37" spans="1:30" s="7" customFormat="1" outlineLevel="4" x14ac:dyDescent="0.25">
      <c r="A37" s="2" t="s">
        <v>5</v>
      </c>
      <c r="B37" s="2" t="s">
        <v>5</v>
      </c>
      <c r="C37" s="2" t="s">
        <v>5</v>
      </c>
      <c r="D37" s="2" t="s">
        <v>5</v>
      </c>
      <c r="E37" s="2" t="s">
        <v>4</v>
      </c>
      <c r="F37" s="42" t="s">
        <v>581</v>
      </c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57"/>
      <c r="U37" s="63" t="s">
        <v>2468</v>
      </c>
      <c r="V37" s="43">
        <v>2</v>
      </c>
      <c r="W37" s="49"/>
      <c r="X37" s="43"/>
      <c r="Y37" s="64"/>
      <c r="Z37" s="99"/>
      <c r="AA37" s="44"/>
      <c r="AB37" s="44"/>
      <c r="AC37" s="43"/>
    </row>
    <row r="38" spans="1:30" s="7" customFormat="1" outlineLevel="4" x14ac:dyDescent="0.25">
      <c r="A38" s="2" t="s">
        <v>5</v>
      </c>
      <c r="B38" s="2" t="s">
        <v>5</v>
      </c>
      <c r="C38" s="2" t="s">
        <v>5</v>
      </c>
      <c r="D38" s="2" t="s">
        <v>5</v>
      </c>
      <c r="E38" s="2" t="s">
        <v>4</v>
      </c>
      <c r="F38" s="42" t="s">
        <v>582</v>
      </c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57"/>
      <c r="U38" s="63" t="s">
        <v>2469</v>
      </c>
      <c r="V38" s="43">
        <v>2</v>
      </c>
      <c r="W38" s="49"/>
      <c r="X38" s="43"/>
      <c r="Y38" s="63"/>
      <c r="Z38" s="99"/>
      <c r="AA38" s="44"/>
      <c r="AB38" s="44"/>
      <c r="AC38" s="43"/>
    </row>
    <row r="39" spans="1:30" s="7" customFormat="1" outlineLevel="4" x14ac:dyDescent="0.25">
      <c r="A39" s="2" t="s">
        <v>5</v>
      </c>
      <c r="B39" s="2" t="s">
        <v>5</v>
      </c>
      <c r="C39" s="2" t="s">
        <v>5</v>
      </c>
      <c r="D39" s="2" t="s">
        <v>5</v>
      </c>
      <c r="E39" s="2" t="s">
        <v>49</v>
      </c>
      <c r="F39" s="42" t="s">
        <v>582</v>
      </c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57"/>
      <c r="U39" s="63" t="s">
        <v>2470</v>
      </c>
      <c r="V39" s="43">
        <v>2</v>
      </c>
      <c r="W39" s="49"/>
      <c r="X39" s="43"/>
      <c r="Y39" s="63"/>
      <c r="Z39" s="99"/>
      <c r="AA39" s="44"/>
      <c r="AB39" s="44"/>
      <c r="AC39" s="43"/>
    </row>
    <row r="40" spans="1:30" s="13" customFormat="1" outlineLevel="3" x14ac:dyDescent="0.25">
      <c r="A40" s="2" t="s">
        <v>5</v>
      </c>
      <c r="B40" s="2" t="s">
        <v>5</v>
      </c>
      <c r="C40" s="2" t="s">
        <v>5</v>
      </c>
      <c r="D40" s="2" t="s">
        <v>4</v>
      </c>
      <c r="E40" s="42" t="s">
        <v>277</v>
      </c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63" t="s">
        <v>2471</v>
      </c>
      <c r="V40" s="43">
        <v>1</v>
      </c>
      <c r="W40" s="49" t="s">
        <v>1019</v>
      </c>
      <c r="X40" s="43"/>
      <c r="Y40" s="64"/>
      <c r="Z40" s="99"/>
      <c r="AA40" s="44"/>
      <c r="AB40" s="44"/>
      <c r="AC40" s="43"/>
      <c r="AD40" s="7"/>
    </row>
    <row r="41" spans="1:30" s="7" customFormat="1" outlineLevel="3" x14ac:dyDescent="0.25">
      <c r="A41" s="2" t="s">
        <v>5</v>
      </c>
      <c r="B41" s="2" t="s">
        <v>5</v>
      </c>
      <c r="C41" s="2" t="s">
        <v>5</v>
      </c>
      <c r="D41" s="2" t="s">
        <v>4</v>
      </c>
      <c r="E41" s="42" t="s">
        <v>281</v>
      </c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57"/>
      <c r="U41" s="63" t="s">
        <v>2472</v>
      </c>
      <c r="V41" s="43">
        <v>2</v>
      </c>
      <c r="W41" s="49" t="s">
        <v>1019</v>
      </c>
      <c r="X41" s="43"/>
      <c r="Y41" s="64"/>
      <c r="Z41" s="99"/>
      <c r="AA41" s="44"/>
      <c r="AB41" s="44"/>
      <c r="AC41" s="43"/>
    </row>
    <row r="42" spans="1:30" s="7" customFormat="1" outlineLevel="3" x14ac:dyDescent="0.25">
      <c r="A42" s="2" t="s">
        <v>5</v>
      </c>
      <c r="B42" s="2" t="s">
        <v>5</v>
      </c>
      <c r="C42" s="2" t="s">
        <v>5</v>
      </c>
      <c r="D42" s="2" t="s">
        <v>4</v>
      </c>
      <c r="E42" s="42" t="s">
        <v>321</v>
      </c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57"/>
      <c r="U42" s="63" t="s">
        <v>2473</v>
      </c>
      <c r="V42" s="43">
        <v>2</v>
      </c>
      <c r="W42" s="49" t="s">
        <v>1019</v>
      </c>
      <c r="X42" s="43"/>
      <c r="Y42" s="64"/>
      <c r="Z42" s="99"/>
      <c r="AA42" s="44"/>
      <c r="AB42" s="44"/>
      <c r="AC42" s="43"/>
    </row>
    <row r="43" spans="1:30" s="7" customFormat="1" outlineLevel="3" x14ac:dyDescent="0.25">
      <c r="A43" s="2" t="s">
        <v>5</v>
      </c>
      <c r="B43" s="2" t="s">
        <v>5</v>
      </c>
      <c r="C43" s="2" t="s">
        <v>5</v>
      </c>
      <c r="D43" s="2" t="s">
        <v>4</v>
      </c>
      <c r="E43" s="42" t="s">
        <v>281</v>
      </c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57"/>
      <c r="U43" s="63" t="s">
        <v>2474</v>
      </c>
      <c r="V43" s="43">
        <v>2</v>
      </c>
      <c r="W43" s="49" t="s">
        <v>1019</v>
      </c>
      <c r="X43" s="43"/>
      <c r="Y43" s="64"/>
      <c r="Z43" s="99"/>
      <c r="AA43" s="44"/>
      <c r="AB43" s="44"/>
      <c r="AC43" s="43"/>
    </row>
    <row r="44" spans="1:30" s="7" customFormat="1" outlineLevel="3" x14ac:dyDescent="0.25">
      <c r="A44" s="2" t="s">
        <v>5</v>
      </c>
      <c r="B44" s="2" t="s">
        <v>5</v>
      </c>
      <c r="C44" s="2" t="s">
        <v>5</v>
      </c>
      <c r="D44" s="2" t="s">
        <v>4</v>
      </c>
      <c r="E44" s="42" t="s">
        <v>555</v>
      </c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57"/>
      <c r="U44" s="63" t="s">
        <v>2475</v>
      </c>
      <c r="V44" s="43">
        <v>3</v>
      </c>
      <c r="W44" s="49" t="s">
        <v>1019</v>
      </c>
      <c r="X44" s="43"/>
      <c r="Y44" s="64"/>
      <c r="Z44" s="99"/>
      <c r="AA44" s="44"/>
      <c r="AB44" s="44"/>
      <c r="AC44" s="43"/>
    </row>
    <row r="45" spans="1:30" s="7" customFormat="1" outlineLevel="3" x14ac:dyDescent="0.25">
      <c r="A45" s="2" t="s">
        <v>5</v>
      </c>
      <c r="B45" s="2" t="s">
        <v>5</v>
      </c>
      <c r="C45" s="2" t="s">
        <v>5</v>
      </c>
      <c r="D45" s="2" t="s">
        <v>4</v>
      </c>
      <c r="E45" s="42" t="s">
        <v>555</v>
      </c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57"/>
      <c r="U45" s="63" t="s">
        <v>2476</v>
      </c>
      <c r="V45" s="43">
        <v>2</v>
      </c>
      <c r="W45" s="49" t="s">
        <v>1019</v>
      </c>
      <c r="X45" s="43"/>
      <c r="Y45" s="64"/>
      <c r="Z45" s="99"/>
      <c r="AA45" s="44"/>
      <c r="AB45" s="44"/>
      <c r="AC45" s="43"/>
    </row>
    <row r="46" spans="1:30" s="7" customFormat="1" outlineLevel="3" x14ac:dyDescent="0.25">
      <c r="A46" s="2" t="s">
        <v>5</v>
      </c>
      <c r="B46" s="2" t="s">
        <v>5</v>
      </c>
      <c r="C46" s="2" t="s">
        <v>5</v>
      </c>
      <c r="D46" s="2" t="s">
        <v>4</v>
      </c>
      <c r="E46" s="42" t="s">
        <v>556</v>
      </c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57"/>
      <c r="U46" s="63" t="s">
        <v>2477</v>
      </c>
      <c r="V46" s="43">
        <v>1</v>
      </c>
      <c r="W46" s="49" t="s">
        <v>1019</v>
      </c>
      <c r="X46" s="43"/>
      <c r="Y46" s="64"/>
      <c r="Z46" s="99"/>
      <c r="AA46" s="44"/>
      <c r="AB46" s="44"/>
      <c r="AC46" s="43"/>
    </row>
    <row r="47" spans="1:30" s="7" customFormat="1" outlineLevel="3" x14ac:dyDescent="0.25">
      <c r="A47" s="2" t="s">
        <v>5</v>
      </c>
      <c r="B47" s="2" t="s">
        <v>5</v>
      </c>
      <c r="C47" s="2" t="s">
        <v>5</v>
      </c>
      <c r="D47" s="2" t="s">
        <v>4</v>
      </c>
      <c r="E47" s="42" t="s">
        <v>557</v>
      </c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57"/>
      <c r="U47" s="63" t="s">
        <v>2478</v>
      </c>
      <c r="V47" s="43">
        <v>2</v>
      </c>
      <c r="W47" s="49" t="s">
        <v>1019</v>
      </c>
      <c r="X47" s="43"/>
      <c r="Y47" s="65"/>
      <c r="Z47" s="99"/>
      <c r="AA47" s="44"/>
      <c r="AB47" s="44"/>
      <c r="AC47" s="43"/>
    </row>
    <row r="48" spans="1:30" s="7" customFormat="1" outlineLevel="3" x14ac:dyDescent="0.25">
      <c r="A48" s="2" t="s">
        <v>5</v>
      </c>
      <c r="B48" s="2" t="s">
        <v>5</v>
      </c>
      <c r="C48" s="2" t="s">
        <v>5</v>
      </c>
      <c r="D48" s="2" t="s">
        <v>4</v>
      </c>
      <c r="E48" s="42" t="s">
        <v>557</v>
      </c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57"/>
      <c r="U48" s="63" t="s">
        <v>2479</v>
      </c>
      <c r="V48" s="43">
        <v>4</v>
      </c>
      <c r="W48" s="49" t="s">
        <v>1019</v>
      </c>
      <c r="X48" s="43"/>
      <c r="Y48" s="64"/>
      <c r="Z48" s="99"/>
      <c r="AA48" s="44"/>
      <c r="AB48" s="44"/>
      <c r="AC48" s="43"/>
    </row>
    <row r="49" spans="1:29" s="7" customFormat="1" outlineLevel="3" x14ac:dyDescent="0.25">
      <c r="A49" s="2" t="s">
        <v>5</v>
      </c>
      <c r="B49" s="2" t="s">
        <v>5</v>
      </c>
      <c r="C49" s="2" t="s">
        <v>5</v>
      </c>
      <c r="D49" s="2" t="s">
        <v>4</v>
      </c>
      <c r="E49" s="42" t="s">
        <v>558</v>
      </c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57"/>
      <c r="U49" s="63" t="s">
        <v>2480</v>
      </c>
      <c r="V49" s="43">
        <v>1</v>
      </c>
      <c r="W49" s="49" t="s">
        <v>1019</v>
      </c>
      <c r="X49" s="43"/>
      <c r="Y49" s="63" t="s">
        <v>559</v>
      </c>
      <c r="Z49" s="99"/>
      <c r="AA49" s="44"/>
      <c r="AB49" s="44"/>
      <c r="AC49" s="43"/>
    </row>
    <row r="50" spans="1:29" s="7" customFormat="1" outlineLevel="3" x14ac:dyDescent="0.25">
      <c r="A50" s="2" t="s">
        <v>5</v>
      </c>
      <c r="B50" s="2" t="s">
        <v>5</v>
      </c>
      <c r="C50" s="2" t="s">
        <v>5</v>
      </c>
      <c r="D50" s="2" t="s">
        <v>4</v>
      </c>
      <c r="E50" s="42" t="s">
        <v>560</v>
      </c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57"/>
      <c r="U50" s="63" t="s">
        <v>2481</v>
      </c>
      <c r="V50" s="43">
        <v>2</v>
      </c>
      <c r="W50" s="49" t="s">
        <v>1019</v>
      </c>
      <c r="X50" s="43"/>
      <c r="Y50" s="63" t="s">
        <v>562</v>
      </c>
      <c r="Z50" s="99"/>
      <c r="AA50" s="44"/>
      <c r="AB50" s="44"/>
      <c r="AC50" s="43"/>
    </row>
    <row r="51" spans="1:29" s="7" customFormat="1" outlineLevel="3" x14ac:dyDescent="0.25">
      <c r="A51" s="2" t="s">
        <v>5</v>
      </c>
      <c r="B51" s="2" t="s">
        <v>5</v>
      </c>
      <c r="C51" s="2" t="s">
        <v>5</v>
      </c>
      <c r="D51" s="2" t="s">
        <v>4</v>
      </c>
      <c r="E51" s="42" t="s">
        <v>560</v>
      </c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57"/>
      <c r="U51" s="63" t="s">
        <v>2482</v>
      </c>
      <c r="V51" s="43">
        <v>16</v>
      </c>
      <c r="W51" s="49" t="s">
        <v>1019</v>
      </c>
      <c r="X51" s="43"/>
      <c r="Y51" s="63" t="s">
        <v>563</v>
      </c>
      <c r="Z51" s="99"/>
      <c r="AA51" s="44"/>
      <c r="AB51" s="44"/>
      <c r="AC51" s="43"/>
    </row>
    <row r="52" spans="1:29" s="7" customFormat="1" outlineLevel="3" x14ac:dyDescent="0.25">
      <c r="A52" s="2" t="s">
        <v>5</v>
      </c>
      <c r="B52" s="2" t="s">
        <v>5</v>
      </c>
      <c r="C52" s="2" t="s">
        <v>5</v>
      </c>
      <c r="D52" s="2" t="s">
        <v>4</v>
      </c>
      <c r="E52" s="42" t="s">
        <v>561</v>
      </c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57"/>
      <c r="U52" s="63" t="s">
        <v>2483</v>
      </c>
      <c r="V52" s="43">
        <v>2</v>
      </c>
      <c r="W52" s="49" t="s">
        <v>1019</v>
      </c>
      <c r="X52" s="43"/>
      <c r="Y52" s="63"/>
      <c r="Z52" s="99"/>
      <c r="AA52" s="44"/>
      <c r="AB52" s="44"/>
      <c r="AC52" s="43"/>
    </row>
    <row r="53" spans="1:29" s="7" customFormat="1" outlineLevel="3" x14ac:dyDescent="0.25">
      <c r="A53" s="50" t="s">
        <v>5</v>
      </c>
      <c r="B53" s="50" t="s">
        <v>5</v>
      </c>
      <c r="C53" s="50" t="s">
        <v>5</v>
      </c>
      <c r="D53" s="50" t="s">
        <v>4</v>
      </c>
      <c r="E53" s="52" t="s">
        <v>557</v>
      </c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8"/>
      <c r="U53" s="53" t="s">
        <v>2484</v>
      </c>
      <c r="V53" s="54">
        <v>4</v>
      </c>
      <c r="W53" s="55" t="s">
        <v>1019</v>
      </c>
      <c r="X53" s="54"/>
      <c r="Y53" s="60"/>
      <c r="Z53" s="100"/>
      <c r="AA53" s="56"/>
      <c r="AB53" s="56"/>
      <c r="AC53" s="54"/>
    </row>
    <row r="54" spans="1:29" s="7" customFormat="1" outlineLevel="3" x14ac:dyDescent="0.25">
      <c r="A54" s="50" t="s">
        <v>5</v>
      </c>
      <c r="B54" s="50" t="s">
        <v>5</v>
      </c>
      <c r="C54" s="50" t="s">
        <v>5</v>
      </c>
      <c r="D54" s="50" t="s">
        <v>4</v>
      </c>
      <c r="E54" s="52" t="s">
        <v>321</v>
      </c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8"/>
      <c r="U54" s="53" t="s">
        <v>2485</v>
      </c>
      <c r="V54" s="54">
        <v>4</v>
      </c>
      <c r="W54" s="55" t="s">
        <v>1019</v>
      </c>
      <c r="X54" s="54"/>
      <c r="Y54" s="60"/>
      <c r="Z54" s="100"/>
      <c r="AA54" s="56"/>
      <c r="AB54" s="56"/>
      <c r="AC54" s="54"/>
    </row>
    <row r="55" spans="1:29" s="7" customFormat="1" outlineLevel="3" x14ac:dyDescent="0.25">
      <c r="A55" s="50" t="s">
        <v>5</v>
      </c>
      <c r="B55" s="50" t="s">
        <v>5</v>
      </c>
      <c r="C55" s="50" t="s">
        <v>5</v>
      </c>
      <c r="D55" s="50" t="s">
        <v>4</v>
      </c>
      <c r="E55" s="52" t="s">
        <v>289</v>
      </c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8"/>
      <c r="U55" s="53" t="s">
        <v>2486</v>
      </c>
      <c r="V55" s="54">
        <v>1</v>
      </c>
      <c r="W55" s="55" t="s">
        <v>1019</v>
      </c>
      <c r="X55" s="54"/>
      <c r="Y55" s="60"/>
      <c r="Z55" s="100"/>
      <c r="AA55" s="56"/>
      <c r="AB55" s="56"/>
      <c r="AC55" s="54"/>
    </row>
    <row r="56" spans="1:29" s="7" customFormat="1" outlineLevel="3" x14ac:dyDescent="0.25">
      <c r="A56" s="50" t="s">
        <v>5</v>
      </c>
      <c r="B56" s="50" t="s">
        <v>5</v>
      </c>
      <c r="C56" s="50" t="s">
        <v>5</v>
      </c>
      <c r="D56" s="50" t="s">
        <v>4</v>
      </c>
      <c r="E56" s="52" t="s">
        <v>1126</v>
      </c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8"/>
      <c r="U56" s="53"/>
      <c r="V56" s="54">
        <v>6</v>
      </c>
      <c r="W56" s="55" t="s">
        <v>1019</v>
      </c>
      <c r="X56" s="54"/>
      <c r="Y56" s="60"/>
      <c r="Z56" s="100"/>
      <c r="AA56" s="56"/>
      <c r="AB56" s="56"/>
      <c r="AC56" s="54"/>
    </row>
    <row r="57" spans="1:29" s="7" customFormat="1" outlineLevel="3" x14ac:dyDescent="0.25">
      <c r="A57" s="50" t="s">
        <v>5</v>
      </c>
      <c r="B57" s="50" t="s">
        <v>5</v>
      </c>
      <c r="C57" s="50" t="s">
        <v>5</v>
      </c>
      <c r="D57" s="50" t="s">
        <v>4</v>
      </c>
      <c r="E57" s="52" t="s">
        <v>1127</v>
      </c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8"/>
      <c r="U57" s="53"/>
      <c r="V57" s="54">
        <v>4</v>
      </c>
      <c r="W57" s="55" t="s">
        <v>1019</v>
      </c>
      <c r="X57" s="54"/>
      <c r="Y57" s="60"/>
      <c r="Z57" s="100"/>
      <c r="AA57" s="56"/>
      <c r="AB57" s="56"/>
      <c r="AC57" s="54"/>
    </row>
    <row r="58" spans="1:29" s="7" customFormat="1" outlineLevel="3" x14ac:dyDescent="0.25">
      <c r="A58" s="50" t="s">
        <v>5</v>
      </c>
      <c r="B58" s="50" t="s">
        <v>5</v>
      </c>
      <c r="C58" s="50" t="s">
        <v>5</v>
      </c>
      <c r="D58" s="50" t="s">
        <v>4</v>
      </c>
      <c r="E58" s="52" t="s">
        <v>1128</v>
      </c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8"/>
      <c r="U58" s="53"/>
      <c r="V58" s="54">
        <v>2</v>
      </c>
      <c r="W58" s="55" t="s">
        <v>1019</v>
      </c>
      <c r="X58" s="54"/>
      <c r="Y58" s="60"/>
      <c r="Z58" s="100"/>
      <c r="AA58" s="56"/>
      <c r="AB58" s="56"/>
      <c r="AC58" s="54"/>
    </row>
    <row r="59" spans="1:29" s="7" customFormat="1" outlineLevel="3" x14ac:dyDescent="0.25">
      <c r="A59" s="50" t="s">
        <v>5</v>
      </c>
      <c r="B59" s="50" t="s">
        <v>5</v>
      </c>
      <c r="C59" s="50" t="s">
        <v>5</v>
      </c>
      <c r="D59" s="50" t="s">
        <v>4</v>
      </c>
      <c r="E59" s="52" t="s">
        <v>1129</v>
      </c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8"/>
      <c r="U59" s="53"/>
      <c r="V59" s="54">
        <v>2</v>
      </c>
      <c r="W59" s="55" t="s">
        <v>1019</v>
      </c>
      <c r="X59" s="54"/>
      <c r="Y59" s="60"/>
      <c r="Z59" s="100"/>
      <c r="AA59" s="56"/>
      <c r="AB59" s="56"/>
      <c r="AC59" s="54"/>
    </row>
    <row r="60" spans="1:29" s="7" customFormat="1" outlineLevel="3" x14ac:dyDescent="0.25">
      <c r="A60" s="50" t="s">
        <v>5</v>
      </c>
      <c r="B60" s="50" t="s">
        <v>5</v>
      </c>
      <c r="C60" s="50" t="s">
        <v>5</v>
      </c>
      <c r="D60" s="50" t="s">
        <v>4</v>
      </c>
      <c r="E60" s="52" t="s">
        <v>1130</v>
      </c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8"/>
      <c r="U60" s="53"/>
      <c r="V60" s="54">
        <v>6</v>
      </c>
      <c r="W60" s="55" t="s">
        <v>1019</v>
      </c>
      <c r="X60" s="54"/>
      <c r="Y60" s="60"/>
      <c r="Z60" s="100"/>
      <c r="AA60" s="56"/>
      <c r="AB60" s="56"/>
      <c r="AC60" s="54"/>
    </row>
    <row r="61" spans="1:29" s="7" customFormat="1" outlineLevel="3" x14ac:dyDescent="0.25">
      <c r="A61" s="50" t="s">
        <v>5</v>
      </c>
      <c r="B61" s="50" t="s">
        <v>5</v>
      </c>
      <c r="C61" s="50" t="s">
        <v>5</v>
      </c>
      <c r="D61" s="50" t="s">
        <v>4</v>
      </c>
      <c r="E61" s="52" t="s">
        <v>1131</v>
      </c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8"/>
      <c r="U61" s="53"/>
      <c r="V61" s="54">
        <v>4</v>
      </c>
      <c r="W61" s="55" t="s">
        <v>1019</v>
      </c>
      <c r="X61" s="54"/>
      <c r="Y61" s="60"/>
      <c r="Z61" s="100"/>
      <c r="AA61" s="56"/>
      <c r="AB61" s="56"/>
      <c r="AC61" s="54"/>
    </row>
    <row r="62" spans="1:29" s="7" customFormat="1" outlineLevel="3" x14ac:dyDescent="0.25">
      <c r="A62" s="50" t="s">
        <v>5</v>
      </c>
      <c r="B62" s="50" t="s">
        <v>5</v>
      </c>
      <c r="C62" s="50" t="s">
        <v>5</v>
      </c>
      <c r="D62" s="50" t="s">
        <v>4</v>
      </c>
      <c r="E62" s="52" t="s">
        <v>1132</v>
      </c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8"/>
      <c r="U62" s="53"/>
      <c r="V62" s="54">
        <v>12</v>
      </c>
      <c r="W62" s="55" t="s">
        <v>1019</v>
      </c>
      <c r="X62" s="54"/>
      <c r="Y62" s="60"/>
      <c r="Z62" s="100"/>
      <c r="AA62" s="56"/>
      <c r="AB62" s="56"/>
      <c r="AC62" s="54"/>
    </row>
    <row r="63" spans="1:29" s="7" customFormat="1" outlineLevel="3" x14ac:dyDescent="0.25">
      <c r="A63" s="50" t="s">
        <v>5</v>
      </c>
      <c r="B63" s="50" t="s">
        <v>5</v>
      </c>
      <c r="C63" s="50" t="s">
        <v>5</v>
      </c>
      <c r="D63" s="50" t="s">
        <v>4</v>
      </c>
      <c r="E63" s="52" t="s">
        <v>613</v>
      </c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8"/>
      <c r="U63" s="53"/>
      <c r="V63" s="54">
        <v>4</v>
      </c>
      <c r="W63" s="55" t="s">
        <v>1019</v>
      </c>
      <c r="X63" s="54"/>
      <c r="Y63" s="60"/>
      <c r="Z63" s="100"/>
      <c r="AA63" s="56"/>
      <c r="AB63" s="56"/>
      <c r="AC63" s="54"/>
    </row>
    <row r="64" spans="1:29" s="7" customFormat="1" outlineLevel="3" x14ac:dyDescent="0.25">
      <c r="A64" s="50" t="s">
        <v>5</v>
      </c>
      <c r="B64" s="50" t="s">
        <v>5</v>
      </c>
      <c r="C64" s="50" t="s">
        <v>5</v>
      </c>
      <c r="D64" s="50" t="s">
        <v>4</v>
      </c>
      <c r="E64" s="52" t="s">
        <v>1133</v>
      </c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8"/>
      <c r="U64" s="53"/>
      <c r="V64" s="54">
        <v>9</v>
      </c>
      <c r="W64" s="55" t="s">
        <v>1019</v>
      </c>
      <c r="X64" s="54"/>
      <c r="Y64" s="60"/>
      <c r="Z64" s="100"/>
      <c r="AA64" s="56"/>
      <c r="AB64" s="56"/>
      <c r="AC64" s="54"/>
    </row>
    <row r="65" spans="1:29" s="7" customFormat="1" outlineLevel="3" x14ac:dyDescent="0.25">
      <c r="A65" s="50" t="s">
        <v>5</v>
      </c>
      <c r="B65" s="50" t="s">
        <v>5</v>
      </c>
      <c r="C65" s="50" t="s">
        <v>5</v>
      </c>
      <c r="D65" s="50" t="s">
        <v>4</v>
      </c>
      <c r="E65" s="52" t="s">
        <v>318</v>
      </c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8"/>
      <c r="U65" s="53"/>
      <c r="V65" s="54">
        <v>10</v>
      </c>
      <c r="W65" s="55" t="s">
        <v>1019</v>
      </c>
      <c r="X65" s="54"/>
      <c r="Y65" s="60"/>
      <c r="Z65" s="100"/>
      <c r="AA65" s="56"/>
      <c r="AB65" s="56"/>
      <c r="AC65" s="54"/>
    </row>
    <row r="66" spans="1:29" s="7" customFormat="1" outlineLevel="3" x14ac:dyDescent="0.25">
      <c r="A66" s="50" t="s">
        <v>5</v>
      </c>
      <c r="B66" s="50" t="s">
        <v>5</v>
      </c>
      <c r="C66" s="50" t="s">
        <v>5</v>
      </c>
      <c r="D66" s="50" t="s">
        <v>4</v>
      </c>
      <c r="E66" s="52" t="s">
        <v>1134</v>
      </c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8"/>
      <c r="U66" s="53"/>
      <c r="V66" s="54">
        <v>2</v>
      </c>
      <c r="W66" s="55" t="s">
        <v>1019</v>
      </c>
      <c r="X66" s="54"/>
      <c r="Y66" s="60"/>
      <c r="Z66" s="100"/>
      <c r="AA66" s="56"/>
      <c r="AB66" s="56"/>
      <c r="AC66" s="54"/>
    </row>
    <row r="67" spans="1:29" s="7" customFormat="1" outlineLevel="3" x14ac:dyDescent="0.25">
      <c r="A67" s="50" t="s">
        <v>5</v>
      </c>
      <c r="B67" s="50" t="s">
        <v>5</v>
      </c>
      <c r="C67" s="50" t="s">
        <v>5</v>
      </c>
      <c r="D67" s="50" t="s">
        <v>4</v>
      </c>
      <c r="E67" s="52" t="s">
        <v>1135</v>
      </c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8"/>
      <c r="U67" s="53"/>
      <c r="V67" s="54">
        <v>22</v>
      </c>
      <c r="W67" s="55" t="s">
        <v>1019</v>
      </c>
      <c r="X67" s="54"/>
      <c r="Y67" s="60"/>
      <c r="Z67" s="100"/>
      <c r="AA67" s="56"/>
      <c r="AB67" s="56"/>
      <c r="AC67" s="54"/>
    </row>
    <row r="68" spans="1:29" s="7" customFormat="1" outlineLevel="3" x14ac:dyDescent="0.25">
      <c r="A68" s="50" t="s">
        <v>5</v>
      </c>
      <c r="B68" s="50" t="s">
        <v>5</v>
      </c>
      <c r="C68" s="50" t="s">
        <v>5</v>
      </c>
      <c r="D68" s="50" t="s">
        <v>4</v>
      </c>
      <c r="E68" s="52" t="s">
        <v>304</v>
      </c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8"/>
      <c r="U68" s="53"/>
      <c r="V68" s="54">
        <v>2</v>
      </c>
      <c r="W68" s="55" t="s">
        <v>1019</v>
      </c>
      <c r="X68" s="54"/>
      <c r="Y68" s="60"/>
      <c r="Z68" s="100"/>
      <c r="AA68" s="56"/>
      <c r="AB68" s="56"/>
      <c r="AC68" s="54"/>
    </row>
    <row r="69" spans="1:29" s="7" customFormat="1" outlineLevel="3" x14ac:dyDescent="0.25">
      <c r="A69" s="50" t="s">
        <v>5</v>
      </c>
      <c r="B69" s="50" t="s">
        <v>5</v>
      </c>
      <c r="C69" s="50" t="s">
        <v>5</v>
      </c>
      <c r="D69" s="50" t="s">
        <v>4</v>
      </c>
      <c r="E69" s="52" t="s">
        <v>1136</v>
      </c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8"/>
      <c r="U69" s="53"/>
      <c r="V69" s="54">
        <v>2</v>
      </c>
      <c r="W69" s="55" t="s">
        <v>1019</v>
      </c>
      <c r="X69" s="54"/>
      <c r="Y69" s="60"/>
      <c r="Z69" s="100"/>
      <c r="AA69" s="56"/>
      <c r="AB69" s="56"/>
      <c r="AC69" s="54"/>
    </row>
    <row r="70" spans="1:29" s="7" customFormat="1" outlineLevel="3" x14ac:dyDescent="0.25">
      <c r="A70" s="50" t="s">
        <v>5</v>
      </c>
      <c r="B70" s="50" t="s">
        <v>5</v>
      </c>
      <c r="C70" s="50" t="s">
        <v>5</v>
      </c>
      <c r="D70" s="50" t="s">
        <v>4</v>
      </c>
      <c r="E70" s="52" t="s">
        <v>1139</v>
      </c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8"/>
      <c r="U70" s="53"/>
      <c r="V70" s="54">
        <v>20</v>
      </c>
      <c r="W70" s="55" t="s">
        <v>1019</v>
      </c>
      <c r="X70" s="54"/>
      <c r="Y70" s="60"/>
      <c r="Z70" s="100"/>
      <c r="AA70" s="56"/>
      <c r="AB70" s="56"/>
      <c r="AC70" s="54"/>
    </row>
    <row r="71" spans="1:29" s="7" customFormat="1" outlineLevel="3" x14ac:dyDescent="0.25">
      <c r="A71" s="50" t="s">
        <v>5</v>
      </c>
      <c r="B71" s="50" t="s">
        <v>5</v>
      </c>
      <c r="C71" s="50" t="s">
        <v>5</v>
      </c>
      <c r="D71" s="50" t="s">
        <v>4</v>
      </c>
      <c r="E71" s="52" t="s">
        <v>1138</v>
      </c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8"/>
      <c r="U71" s="53"/>
      <c r="V71" s="54">
        <v>26</v>
      </c>
      <c r="W71" s="55" t="s">
        <v>1019</v>
      </c>
      <c r="X71" s="54"/>
      <c r="Y71" s="60"/>
      <c r="Z71" s="100"/>
      <c r="AA71" s="56"/>
      <c r="AB71" s="56"/>
      <c r="AC71" s="54"/>
    </row>
    <row r="72" spans="1:29" s="7" customFormat="1" outlineLevel="3" x14ac:dyDescent="0.25">
      <c r="A72" s="50" t="s">
        <v>5</v>
      </c>
      <c r="B72" s="50" t="s">
        <v>5</v>
      </c>
      <c r="C72" s="50" t="s">
        <v>5</v>
      </c>
      <c r="D72" s="50" t="s">
        <v>4</v>
      </c>
      <c r="E72" s="52" t="s">
        <v>1137</v>
      </c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8"/>
      <c r="U72" s="53"/>
      <c r="V72" s="54">
        <v>4</v>
      </c>
      <c r="W72" s="55" t="s">
        <v>1019</v>
      </c>
      <c r="X72" s="54"/>
      <c r="Y72" s="60"/>
      <c r="Z72" s="100"/>
      <c r="AA72" s="56"/>
      <c r="AB72" s="56"/>
      <c r="AC72" s="54"/>
    </row>
    <row r="73" spans="1:29" s="7" customFormat="1" outlineLevel="3" x14ac:dyDescent="0.25">
      <c r="A73" s="50" t="s">
        <v>5</v>
      </c>
      <c r="B73" s="50" t="s">
        <v>5</v>
      </c>
      <c r="C73" s="50" t="s">
        <v>5</v>
      </c>
      <c r="D73" s="50" t="s">
        <v>4</v>
      </c>
      <c r="E73" s="52" t="s">
        <v>1140</v>
      </c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8"/>
      <c r="U73" s="53"/>
      <c r="V73" s="54">
        <v>2</v>
      </c>
      <c r="W73" s="55" t="s">
        <v>1019</v>
      </c>
      <c r="X73" s="54"/>
      <c r="Y73" s="60"/>
      <c r="Z73" s="100"/>
      <c r="AA73" s="56"/>
      <c r="AB73" s="56"/>
      <c r="AC73" s="54"/>
    </row>
    <row r="74" spans="1:29" s="7" customFormat="1" outlineLevel="3" x14ac:dyDescent="0.25">
      <c r="A74" s="50" t="s">
        <v>5</v>
      </c>
      <c r="B74" s="50" t="s">
        <v>5</v>
      </c>
      <c r="C74" s="50" t="s">
        <v>5</v>
      </c>
      <c r="D74" s="50" t="s">
        <v>4</v>
      </c>
      <c r="E74" s="52" t="s">
        <v>1141</v>
      </c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8"/>
      <c r="U74" s="53"/>
      <c r="V74" s="54">
        <v>2</v>
      </c>
      <c r="W74" s="55" t="s">
        <v>1019</v>
      </c>
      <c r="X74" s="54"/>
      <c r="Y74" s="60"/>
      <c r="Z74" s="100"/>
      <c r="AA74" s="56"/>
      <c r="AB74" s="56"/>
      <c r="AC74" s="54"/>
    </row>
    <row r="75" spans="1:29" s="7" customFormat="1" outlineLevel="3" x14ac:dyDescent="0.25">
      <c r="A75" s="50" t="s">
        <v>5</v>
      </c>
      <c r="B75" s="50" t="s">
        <v>5</v>
      </c>
      <c r="C75" s="50" t="s">
        <v>5</v>
      </c>
      <c r="D75" s="50" t="s">
        <v>4</v>
      </c>
      <c r="E75" s="52" t="s">
        <v>1142</v>
      </c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8"/>
      <c r="U75" s="53"/>
      <c r="V75" s="54">
        <v>2</v>
      </c>
      <c r="W75" s="55" t="s">
        <v>1019</v>
      </c>
      <c r="X75" s="54"/>
      <c r="Y75" s="60"/>
      <c r="Z75" s="100"/>
      <c r="AA75" s="56"/>
      <c r="AB75" s="56"/>
      <c r="AC75" s="54"/>
    </row>
    <row r="76" spans="1:29" s="7" customFormat="1" outlineLevel="3" x14ac:dyDescent="0.25">
      <c r="A76" s="50" t="s">
        <v>5</v>
      </c>
      <c r="B76" s="50" t="s">
        <v>5</v>
      </c>
      <c r="C76" s="50" t="s">
        <v>5</v>
      </c>
      <c r="D76" s="50" t="s">
        <v>4</v>
      </c>
      <c r="E76" s="52" t="s">
        <v>564</v>
      </c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8"/>
      <c r="U76" s="53" t="s">
        <v>565</v>
      </c>
      <c r="V76" s="54">
        <v>1</v>
      </c>
      <c r="W76" s="55" t="s">
        <v>1019</v>
      </c>
      <c r="X76" s="54"/>
      <c r="Y76" s="53"/>
      <c r="Z76" s="100"/>
      <c r="AA76" s="56"/>
      <c r="AB76" s="56"/>
      <c r="AC76" s="54"/>
    </row>
    <row r="77" spans="1:29" s="7" customFormat="1" outlineLevel="3" x14ac:dyDescent="0.25">
      <c r="A77" s="1" t="s">
        <v>5</v>
      </c>
      <c r="B77" s="1" t="s">
        <v>5</v>
      </c>
      <c r="C77" s="1" t="s">
        <v>5</v>
      </c>
      <c r="D77" s="1" t="s">
        <v>4</v>
      </c>
      <c r="E77" s="13" t="s">
        <v>566</v>
      </c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U77" s="17"/>
      <c r="V77" s="18">
        <v>2</v>
      </c>
      <c r="W77" s="47" t="s">
        <v>1019</v>
      </c>
      <c r="X77" s="18"/>
      <c r="Y77" s="17"/>
      <c r="Z77" s="98"/>
      <c r="AA77" s="19"/>
      <c r="AB77" s="19"/>
      <c r="AC77" s="18"/>
    </row>
    <row r="78" spans="1:29" s="7" customFormat="1" outlineLevel="3" x14ac:dyDescent="0.25">
      <c r="A78" s="1" t="s">
        <v>5</v>
      </c>
      <c r="B78" s="1" t="s">
        <v>5</v>
      </c>
      <c r="C78" s="1" t="s">
        <v>5</v>
      </c>
      <c r="D78" s="1" t="s">
        <v>49</v>
      </c>
      <c r="E78" s="13" t="s">
        <v>567</v>
      </c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U78" s="17"/>
      <c r="V78" s="18">
        <v>2</v>
      </c>
      <c r="W78" s="47" t="s">
        <v>1019</v>
      </c>
      <c r="X78" s="18"/>
      <c r="Y78" s="17"/>
      <c r="Z78" s="98"/>
      <c r="AA78" s="19"/>
      <c r="AB78" s="19"/>
      <c r="AC78" s="18"/>
    </row>
    <row r="79" spans="1:29" s="7" customFormat="1" outlineLevel="2" x14ac:dyDescent="0.25">
      <c r="A79" s="1" t="s">
        <v>5</v>
      </c>
      <c r="B79" s="1" t="s">
        <v>5</v>
      </c>
      <c r="C79" s="1" t="s">
        <v>4</v>
      </c>
      <c r="D79" s="5" t="s">
        <v>607</v>
      </c>
      <c r="E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U79" s="17" t="s">
        <v>2487</v>
      </c>
      <c r="V79" s="18">
        <v>1</v>
      </c>
      <c r="W79" s="47" t="s">
        <v>1019</v>
      </c>
      <c r="X79" s="18"/>
      <c r="Y79" s="17"/>
      <c r="Z79" s="98"/>
      <c r="AA79" s="19"/>
      <c r="AB79" s="19"/>
      <c r="AC79" s="18"/>
    </row>
    <row r="80" spans="1:29" s="7" customFormat="1" outlineLevel="3" x14ac:dyDescent="0.25">
      <c r="A80" s="2" t="s">
        <v>5</v>
      </c>
      <c r="B80" s="2" t="s">
        <v>5</v>
      </c>
      <c r="C80" s="2" t="s">
        <v>5</v>
      </c>
      <c r="D80" s="2" t="s">
        <v>4</v>
      </c>
      <c r="E80" s="42" t="s">
        <v>983</v>
      </c>
      <c r="F80" s="57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57"/>
      <c r="U80" s="63" t="s">
        <v>2488</v>
      </c>
      <c r="V80" s="43">
        <v>1</v>
      </c>
      <c r="W80" s="49"/>
      <c r="X80" s="43"/>
      <c r="Y80" s="43"/>
      <c r="Z80" s="99"/>
      <c r="AA80" s="44"/>
      <c r="AB80" s="44"/>
      <c r="AC80" s="43"/>
    </row>
    <row r="81" spans="1:30" s="7" customFormat="1" outlineLevel="3" x14ac:dyDescent="0.25">
      <c r="A81" s="2" t="s">
        <v>5</v>
      </c>
      <c r="B81" s="2" t="s">
        <v>5</v>
      </c>
      <c r="C81" s="2" t="s">
        <v>5</v>
      </c>
      <c r="D81" s="2" t="s">
        <v>4</v>
      </c>
      <c r="E81" s="42" t="s">
        <v>568</v>
      </c>
      <c r="F81" s="57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57"/>
      <c r="U81" s="63"/>
      <c r="V81" s="43">
        <v>1</v>
      </c>
      <c r="W81" s="49"/>
      <c r="X81" s="43"/>
      <c r="Y81" s="43"/>
      <c r="Z81" s="99"/>
      <c r="AA81" s="44"/>
      <c r="AB81" s="44"/>
      <c r="AC81" s="43"/>
    </row>
    <row r="82" spans="1:30" s="7" customFormat="1" outlineLevel="3" x14ac:dyDescent="0.25">
      <c r="A82" s="2" t="s">
        <v>5</v>
      </c>
      <c r="B82" s="2" t="s">
        <v>5</v>
      </c>
      <c r="C82" s="2" t="s">
        <v>5</v>
      </c>
      <c r="D82" s="2" t="s">
        <v>4</v>
      </c>
      <c r="E82" s="42" t="s">
        <v>984</v>
      </c>
      <c r="F82" s="57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57"/>
      <c r="U82" s="63"/>
      <c r="V82" s="43">
        <v>1</v>
      </c>
      <c r="W82" s="49"/>
      <c r="X82" s="43"/>
      <c r="Y82" s="43"/>
      <c r="Z82" s="99"/>
      <c r="AA82" s="44"/>
      <c r="AB82" s="44"/>
      <c r="AC82" s="43"/>
    </row>
    <row r="83" spans="1:30" s="7" customFormat="1" outlineLevel="3" x14ac:dyDescent="0.25">
      <c r="A83" s="2" t="s">
        <v>5</v>
      </c>
      <c r="B83" s="2" t="s">
        <v>5</v>
      </c>
      <c r="C83" s="2" t="s">
        <v>5</v>
      </c>
      <c r="D83" s="2" t="s">
        <v>4</v>
      </c>
      <c r="E83" s="42" t="s">
        <v>303</v>
      </c>
      <c r="F83" s="57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57"/>
      <c r="U83" s="63"/>
      <c r="V83" s="43">
        <v>4</v>
      </c>
      <c r="W83" s="49"/>
      <c r="X83" s="43"/>
      <c r="Y83" s="43"/>
      <c r="Z83" s="99"/>
      <c r="AA83" s="44"/>
      <c r="AB83" s="44"/>
      <c r="AC83" s="43"/>
    </row>
    <row r="84" spans="1:30" s="7" customFormat="1" outlineLevel="3" x14ac:dyDescent="0.25">
      <c r="A84" s="2" t="s">
        <v>5</v>
      </c>
      <c r="B84" s="2" t="s">
        <v>5</v>
      </c>
      <c r="C84" s="2" t="s">
        <v>5</v>
      </c>
      <c r="D84" s="2" t="s">
        <v>4</v>
      </c>
      <c r="E84" s="42" t="s">
        <v>326</v>
      </c>
      <c r="F84" s="57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57"/>
      <c r="U84" s="63"/>
      <c r="V84" s="43">
        <v>1</v>
      </c>
      <c r="W84" s="49"/>
      <c r="X84" s="43"/>
      <c r="Y84" s="43"/>
      <c r="Z84" s="99"/>
      <c r="AA84" s="44"/>
      <c r="AB84" s="44"/>
      <c r="AC84" s="43"/>
    </row>
    <row r="85" spans="1:30" s="7" customFormat="1" outlineLevel="3" x14ac:dyDescent="0.25">
      <c r="A85" s="2" t="s">
        <v>5</v>
      </c>
      <c r="B85" s="2" t="s">
        <v>5</v>
      </c>
      <c r="C85" s="2" t="s">
        <v>5</v>
      </c>
      <c r="D85" s="2" t="s">
        <v>4</v>
      </c>
      <c r="E85" s="42" t="s">
        <v>985</v>
      </c>
      <c r="F85" s="57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57"/>
      <c r="U85" s="63"/>
      <c r="V85" s="43">
        <v>2</v>
      </c>
      <c r="W85" s="49"/>
      <c r="X85" s="43"/>
      <c r="Y85" s="43"/>
      <c r="Z85" s="99"/>
      <c r="AA85" s="44"/>
      <c r="AB85" s="44"/>
      <c r="AC85" s="43"/>
    </row>
    <row r="86" spans="1:30" s="7" customFormat="1" outlineLevel="3" x14ac:dyDescent="0.25">
      <c r="A86" s="2" t="s">
        <v>5</v>
      </c>
      <c r="B86" s="2" t="s">
        <v>5</v>
      </c>
      <c r="C86" s="2" t="s">
        <v>5</v>
      </c>
      <c r="D86" s="2" t="s">
        <v>4</v>
      </c>
      <c r="E86" s="42" t="s">
        <v>608</v>
      </c>
      <c r="F86" s="57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57"/>
      <c r="U86" s="63"/>
      <c r="V86" s="43">
        <v>3</v>
      </c>
      <c r="W86" s="49"/>
      <c r="X86" s="43"/>
      <c r="Y86" s="43"/>
      <c r="Z86" s="99"/>
      <c r="AA86" s="44"/>
      <c r="AB86" s="44"/>
      <c r="AC86" s="43"/>
    </row>
    <row r="87" spans="1:30" s="7" customFormat="1" outlineLevel="3" x14ac:dyDescent="0.25">
      <c r="A87" s="2" t="s">
        <v>5</v>
      </c>
      <c r="B87" s="2" t="s">
        <v>5</v>
      </c>
      <c r="C87" s="2" t="s">
        <v>5</v>
      </c>
      <c r="D87" s="2" t="s">
        <v>4</v>
      </c>
      <c r="E87" s="42" t="s">
        <v>569</v>
      </c>
      <c r="F87" s="57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57"/>
      <c r="U87" s="63"/>
      <c r="V87" s="43">
        <v>3</v>
      </c>
      <c r="W87" s="49"/>
      <c r="X87" s="43"/>
      <c r="Y87" s="43"/>
      <c r="Z87" s="99"/>
      <c r="AA87" s="44"/>
      <c r="AB87" s="44"/>
      <c r="AC87" s="43"/>
    </row>
    <row r="88" spans="1:30" s="7" customFormat="1" outlineLevel="3" x14ac:dyDescent="0.25">
      <c r="A88" s="2" t="s">
        <v>5</v>
      </c>
      <c r="B88" s="2" t="s">
        <v>5</v>
      </c>
      <c r="C88" s="2" t="s">
        <v>5</v>
      </c>
      <c r="D88" s="2" t="s">
        <v>49</v>
      </c>
      <c r="E88" s="42" t="s">
        <v>609</v>
      </c>
      <c r="F88" s="57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57"/>
      <c r="U88" s="63"/>
      <c r="V88" s="43">
        <v>3</v>
      </c>
      <c r="W88" s="49"/>
      <c r="X88" s="43"/>
      <c r="Y88" s="43"/>
      <c r="Z88" s="99"/>
      <c r="AA88" s="44"/>
      <c r="AB88" s="44"/>
      <c r="AC88" s="43"/>
    </row>
    <row r="89" spans="1:30" s="13" customFormat="1" outlineLevel="2" x14ac:dyDescent="0.25">
      <c r="A89" s="2" t="s">
        <v>5</v>
      </c>
      <c r="B89" s="2" t="s">
        <v>5</v>
      </c>
      <c r="C89" s="2" t="s">
        <v>4</v>
      </c>
      <c r="D89" s="41" t="s">
        <v>1035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63" t="s">
        <v>2489</v>
      </c>
      <c r="V89" s="43">
        <v>1</v>
      </c>
      <c r="W89" s="49" t="s">
        <v>1019</v>
      </c>
      <c r="X89" s="43"/>
      <c r="Y89" s="64"/>
      <c r="Z89" s="99"/>
      <c r="AA89" s="44"/>
      <c r="AB89" s="44"/>
      <c r="AC89" s="43"/>
      <c r="AD89" s="7"/>
    </row>
    <row r="90" spans="1:30" s="7" customFormat="1" outlineLevel="2" x14ac:dyDescent="0.25">
      <c r="A90" s="1" t="s">
        <v>5</v>
      </c>
      <c r="B90" s="1" t="s">
        <v>5</v>
      </c>
      <c r="C90" s="1" t="s">
        <v>4</v>
      </c>
      <c r="D90" s="5" t="s">
        <v>128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U90" s="17" t="s">
        <v>2223</v>
      </c>
      <c r="V90" s="18">
        <v>1</v>
      </c>
      <c r="W90" s="47" t="s">
        <v>1019</v>
      </c>
      <c r="X90" s="18"/>
      <c r="Y90" s="18"/>
      <c r="Z90" s="98"/>
      <c r="AA90" s="19"/>
      <c r="AB90" s="19"/>
      <c r="AC90" s="18"/>
    </row>
    <row r="91" spans="1:30" s="7" customFormat="1" outlineLevel="3" x14ac:dyDescent="0.25">
      <c r="A91" s="1" t="s">
        <v>5</v>
      </c>
      <c r="B91" s="1" t="s">
        <v>5</v>
      </c>
      <c r="C91" s="1" t="s">
        <v>5</v>
      </c>
      <c r="D91" s="1" t="s">
        <v>4</v>
      </c>
      <c r="E91" s="5" t="s">
        <v>1143</v>
      </c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U91" s="17" t="s">
        <v>2224</v>
      </c>
      <c r="V91" s="18">
        <v>1</v>
      </c>
      <c r="W91" s="47" t="s">
        <v>1019</v>
      </c>
      <c r="X91" s="18"/>
      <c r="Y91" s="21"/>
      <c r="Z91" s="98"/>
      <c r="AA91" s="19"/>
      <c r="AB91" s="19"/>
      <c r="AC91" s="18"/>
    </row>
    <row r="92" spans="1:30" s="7" customFormat="1" outlineLevel="4" x14ac:dyDescent="0.25">
      <c r="A92" s="50" t="s">
        <v>5</v>
      </c>
      <c r="B92" s="50" t="s">
        <v>5</v>
      </c>
      <c r="C92" s="50" t="s">
        <v>5</v>
      </c>
      <c r="D92" s="50" t="s">
        <v>5</v>
      </c>
      <c r="E92" s="50" t="s">
        <v>4</v>
      </c>
      <c r="F92" s="52" t="s">
        <v>1069</v>
      </c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8"/>
      <c r="U92" s="53" t="s">
        <v>1075</v>
      </c>
      <c r="V92" s="54">
        <v>2</v>
      </c>
      <c r="W92" s="55" t="s">
        <v>1019</v>
      </c>
      <c r="X92" s="54"/>
      <c r="Y92" s="60"/>
      <c r="Z92" s="100"/>
      <c r="AA92" s="56"/>
      <c r="AB92" s="56"/>
      <c r="AC92" s="54"/>
    </row>
    <row r="93" spans="1:30" s="7" customFormat="1" outlineLevel="4" x14ac:dyDescent="0.25">
      <c r="A93" s="50" t="s">
        <v>5</v>
      </c>
      <c r="B93" s="50" t="s">
        <v>5</v>
      </c>
      <c r="C93" s="50" t="s">
        <v>5</v>
      </c>
      <c r="D93" s="50" t="s">
        <v>5</v>
      </c>
      <c r="E93" s="50" t="s">
        <v>4</v>
      </c>
      <c r="F93" s="52" t="s">
        <v>1899</v>
      </c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8"/>
      <c r="U93" s="53"/>
      <c r="V93" s="54">
        <v>0.5</v>
      </c>
      <c r="W93" s="55" t="s">
        <v>1018</v>
      </c>
      <c r="X93" s="54"/>
      <c r="Y93" s="60"/>
      <c r="Z93" s="100"/>
      <c r="AA93" s="56"/>
      <c r="AB93" s="56"/>
      <c r="AC93" s="54"/>
    </row>
    <row r="94" spans="1:30" s="7" customFormat="1" outlineLevel="4" x14ac:dyDescent="0.25">
      <c r="A94" s="50" t="s">
        <v>5</v>
      </c>
      <c r="B94" s="50" t="s">
        <v>5</v>
      </c>
      <c r="C94" s="50" t="s">
        <v>5</v>
      </c>
      <c r="D94" s="50" t="s">
        <v>5</v>
      </c>
      <c r="E94" s="50" t="s">
        <v>49</v>
      </c>
      <c r="F94" s="52" t="s">
        <v>1900</v>
      </c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8"/>
      <c r="U94" s="53"/>
      <c r="V94" s="54">
        <v>0.45</v>
      </c>
      <c r="W94" s="55" t="s">
        <v>1018</v>
      </c>
      <c r="X94" s="54"/>
      <c r="Y94" s="60"/>
      <c r="Z94" s="100"/>
      <c r="AA94" s="56"/>
      <c r="AB94" s="56"/>
      <c r="AC94" s="54"/>
    </row>
    <row r="95" spans="1:30" s="7" customFormat="1" outlineLevel="3" x14ac:dyDescent="0.25">
      <c r="A95" s="1" t="s">
        <v>5</v>
      </c>
      <c r="B95" s="1" t="s">
        <v>5</v>
      </c>
      <c r="C95" s="1" t="s">
        <v>5</v>
      </c>
      <c r="D95" s="1" t="s">
        <v>4</v>
      </c>
      <c r="E95" s="5" t="s">
        <v>1144</v>
      </c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U95" s="17" t="s">
        <v>2225</v>
      </c>
      <c r="V95" s="18">
        <v>1</v>
      </c>
      <c r="W95" s="47" t="s">
        <v>1019</v>
      </c>
      <c r="X95" s="18"/>
      <c r="Y95" s="21"/>
      <c r="Z95" s="98"/>
      <c r="AA95" s="19"/>
      <c r="AB95" s="19"/>
      <c r="AC95" s="18"/>
    </row>
    <row r="96" spans="1:30" s="7" customFormat="1" outlineLevel="4" x14ac:dyDescent="0.25">
      <c r="A96" s="50" t="s">
        <v>5</v>
      </c>
      <c r="B96" s="50" t="s">
        <v>5</v>
      </c>
      <c r="C96" s="50" t="s">
        <v>5</v>
      </c>
      <c r="D96" s="50" t="s">
        <v>5</v>
      </c>
      <c r="E96" s="50" t="s">
        <v>4</v>
      </c>
      <c r="F96" s="52" t="s">
        <v>1069</v>
      </c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8"/>
      <c r="U96" s="53" t="s">
        <v>1075</v>
      </c>
      <c r="V96" s="54">
        <v>2</v>
      </c>
      <c r="W96" s="55" t="s">
        <v>1019</v>
      </c>
      <c r="X96" s="54"/>
      <c r="Y96" s="60"/>
      <c r="Z96" s="100"/>
      <c r="AA96" s="56"/>
      <c r="AB96" s="56"/>
      <c r="AC96" s="54"/>
    </row>
    <row r="97" spans="1:29" s="7" customFormat="1" outlineLevel="4" x14ac:dyDescent="0.25">
      <c r="A97" s="50" t="s">
        <v>5</v>
      </c>
      <c r="B97" s="50" t="s">
        <v>5</v>
      </c>
      <c r="C97" s="50" t="s">
        <v>5</v>
      </c>
      <c r="D97" s="50" t="s">
        <v>5</v>
      </c>
      <c r="E97" s="50" t="s">
        <v>4</v>
      </c>
      <c r="F97" s="52" t="s">
        <v>1899</v>
      </c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8"/>
      <c r="U97" s="53"/>
      <c r="V97" s="54">
        <v>0.5</v>
      </c>
      <c r="W97" s="55" t="s">
        <v>1018</v>
      </c>
      <c r="X97" s="54"/>
      <c r="Y97" s="60"/>
      <c r="Z97" s="100"/>
      <c r="AA97" s="56"/>
      <c r="AB97" s="56"/>
      <c r="AC97" s="54"/>
    </row>
    <row r="98" spans="1:29" s="7" customFormat="1" outlineLevel="4" x14ac:dyDescent="0.25">
      <c r="A98" s="50" t="s">
        <v>5</v>
      </c>
      <c r="B98" s="50" t="s">
        <v>5</v>
      </c>
      <c r="C98" s="50" t="s">
        <v>5</v>
      </c>
      <c r="D98" s="50" t="s">
        <v>5</v>
      </c>
      <c r="E98" s="50" t="s">
        <v>49</v>
      </c>
      <c r="F98" s="52" t="s">
        <v>1900</v>
      </c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8"/>
      <c r="U98" s="53"/>
      <c r="V98" s="54">
        <v>0.5</v>
      </c>
      <c r="W98" s="55" t="s">
        <v>1018</v>
      </c>
      <c r="X98" s="54"/>
      <c r="Y98" s="60"/>
      <c r="Z98" s="100"/>
      <c r="AA98" s="56"/>
      <c r="AB98" s="56"/>
      <c r="AC98" s="54"/>
    </row>
    <row r="99" spans="1:29" s="7" customFormat="1" outlineLevel="3" x14ac:dyDescent="0.25">
      <c r="A99" s="1" t="s">
        <v>5</v>
      </c>
      <c r="B99" s="1" t="s">
        <v>5</v>
      </c>
      <c r="C99" s="1" t="s">
        <v>5</v>
      </c>
      <c r="D99" s="1" t="s">
        <v>4</v>
      </c>
      <c r="E99" s="5" t="s">
        <v>1145</v>
      </c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U99" s="17" t="s">
        <v>2226</v>
      </c>
      <c r="V99" s="18">
        <v>1</v>
      </c>
      <c r="W99" s="47" t="s">
        <v>1019</v>
      </c>
      <c r="X99" s="18"/>
      <c r="Y99" s="21"/>
      <c r="Z99" s="98"/>
      <c r="AA99" s="19"/>
      <c r="AB99" s="19"/>
      <c r="AC99" s="18"/>
    </row>
    <row r="100" spans="1:29" s="7" customFormat="1" outlineLevel="4" x14ac:dyDescent="0.25">
      <c r="A100" s="50" t="s">
        <v>5</v>
      </c>
      <c r="B100" s="50" t="s">
        <v>5</v>
      </c>
      <c r="C100" s="50" t="s">
        <v>5</v>
      </c>
      <c r="D100" s="50" t="s">
        <v>5</v>
      </c>
      <c r="E100" s="50" t="s">
        <v>4</v>
      </c>
      <c r="F100" s="52" t="s">
        <v>226</v>
      </c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8"/>
      <c r="U100" s="53" t="s">
        <v>227</v>
      </c>
      <c r="V100" s="54">
        <v>4</v>
      </c>
      <c r="W100" s="55" t="s">
        <v>1019</v>
      </c>
      <c r="X100" s="54"/>
      <c r="Y100" s="60"/>
      <c r="Z100" s="100"/>
      <c r="AA100" s="56"/>
      <c r="AB100" s="56"/>
      <c r="AC100" s="54"/>
    </row>
    <row r="101" spans="1:29" s="7" customFormat="1" outlineLevel="4" x14ac:dyDescent="0.25">
      <c r="A101" s="50" t="s">
        <v>5</v>
      </c>
      <c r="B101" s="50" t="s">
        <v>5</v>
      </c>
      <c r="C101" s="50" t="s">
        <v>5</v>
      </c>
      <c r="D101" s="50" t="s">
        <v>5</v>
      </c>
      <c r="E101" s="50" t="s">
        <v>4</v>
      </c>
      <c r="F101" s="52" t="s">
        <v>1069</v>
      </c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8"/>
      <c r="U101" s="53" t="s">
        <v>1075</v>
      </c>
      <c r="V101" s="54">
        <v>1</v>
      </c>
      <c r="W101" s="55" t="s">
        <v>1019</v>
      </c>
      <c r="X101" s="54"/>
      <c r="Y101" s="60"/>
      <c r="Z101" s="100"/>
      <c r="AA101" s="56"/>
      <c r="AB101" s="56"/>
      <c r="AC101" s="54"/>
    </row>
    <row r="102" spans="1:29" s="7" customFormat="1" outlineLevel="4" x14ac:dyDescent="0.25">
      <c r="A102" s="50" t="s">
        <v>5</v>
      </c>
      <c r="B102" s="50" t="s">
        <v>5</v>
      </c>
      <c r="C102" s="50" t="s">
        <v>5</v>
      </c>
      <c r="D102" s="50" t="s">
        <v>5</v>
      </c>
      <c r="E102" s="50" t="s">
        <v>4</v>
      </c>
      <c r="F102" s="52" t="s">
        <v>1070</v>
      </c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8"/>
      <c r="U102" s="53"/>
      <c r="V102" s="54">
        <v>0.45</v>
      </c>
      <c r="W102" s="55" t="s">
        <v>1018</v>
      </c>
      <c r="X102" s="54"/>
      <c r="Y102" s="60"/>
      <c r="Z102" s="100"/>
      <c r="AA102" s="56"/>
      <c r="AB102" s="56"/>
      <c r="AC102" s="54"/>
    </row>
    <row r="103" spans="1:29" s="7" customFormat="1" outlineLevel="4" x14ac:dyDescent="0.25">
      <c r="A103" s="50" t="s">
        <v>5</v>
      </c>
      <c r="B103" s="50" t="s">
        <v>5</v>
      </c>
      <c r="C103" s="50" t="s">
        <v>5</v>
      </c>
      <c r="D103" s="50" t="s">
        <v>5</v>
      </c>
      <c r="E103" s="50" t="s">
        <v>4</v>
      </c>
      <c r="F103" s="52" t="s">
        <v>1901</v>
      </c>
      <c r="G103" s="58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8"/>
      <c r="U103" s="53"/>
      <c r="V103" s="54">
        <v>0.45</v>
      </c>
      <c r="W103" s="55" t="s">
        <v>1018</v>
      </c>
      <c r="X103" s="54"/>
      <c r="Y103" s="54"/>
      <c r="Z103" s="100"/>
      <c r="AA103" s="56"/>
      <c r="AB103" s="56"/>
      <c r="AC103" s="54"/>
    </row>
    <row r="104" spans="1:29" s="7" customFormat="1" outlineLevel="4" x14ac:dyDescent="0.25">
      <c r="A104" s="50" t="s">
        <v>5</v>
      </c>
      <c r="B104" s="50" t="s">
        <v>5</v>
      </c>
      <c r="C104" s="50" t="s">
        <v>5</v>
      </c>
      <c r="D104" s="50" t="s">
        <v>5</v>
      </c>
      <c r="E104" s="50" t="s">
        <v>4</v>
      </c>
      <c r="F104" s="52" t="s">
        <v>1902</v>
      </c>
      <c r="G104" s="58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8"/>
      <c r="U104" s="53"/>
      <c r="V104" s="54">
        <v>0.45</v>
      </c>
      <c r="W104" s="55" t="s">
        <v>1018</v>
      </c>
      <c r="X104" s="54"/>
      <c r="Y104" s="54"/>
      <c r="Z104" s="100"/>
      <c r="AA104" s="56"/>
      <c r="AB104" s="56"/>
      <c r="AC104" s="54"/>
    </row>
    <row r="105" spans="1:29" s="7" customFormat="1" outlineLevel="4" x14ac:dyDescent="0.25">
      <c r="A105" s="50" t="s">
        <v>5</v>
      </c>
      <c r="B105" s="50" t="s">
        <v>5</v>
      </c>
      <c r="C105" s="50" t="s">
        <v>5</v>
      </c>
      <c r="D105" s="50" t="s">
        <v>5</v>
      </c>
      <c r="E105" s="50" t="s">
        <v>49</v>
      </c>
      <c r="F105" s="52" t="s">
        <v>1074</v>
      </c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8"/>
      <c r="U105" s="53"/>
      <c r="V105" s="54">
        <v>0.35</v>
      </c>
      <c r="W105" s="55" t="s">
        <v>1018</v>
      </c>
      <c r="X105" s="54"/>
      <c r="Y105" s="60"/>
      <c r="Z105" s="100"/>
      <c r="AA105" s="56"/>
      <c r="AB105" s="56"/>
      <c r="AC105" s="54"/>
    </row>
    <row r="106" spans="1:29" s="7" customFormat="1" outlineLevel="3" x14ac:dyDescent="0.25">
      <c r="A106" s="1" t="s">
        <v>5</v>
      </c>
      <c r="B106" s="1" t="s">
        <v>5</v>
      </c>
      <c r="C106" s="1" t="s">
        <v>5</v>
      </c>
      <c r="D106" s="1" t="s">
        <v>4</v>
      </c>
      <c r="E106" s="13" t="s">
        <v>275</v>
      </c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7" t="s">
        <v>2490</v>
      </c>
      <c r="V106" s="18">
        <v>1</v>
      </c>
      <c r="W106" s="47" t="s">
        <v>1019</v>
      </c>
      <c r="X106" s="18"/>
      <c r="Y106" s="18"/>
      <c r="Z106" s="98"/>
      <c r="AA106" s="19"/>
      <c r="AB106" s="19"/>
      <c r="AC106" s="18"/>
    </row>
    <row r="107" spans="1:29" s="7" customFormat="1" outlineLevel="3" x14ac:dyDescent="0.25">
      <c r="A107" s="50" t="s">
        <v>5</v>
      </c>
      <c r="B107" s="50" t="s">
        <v>5</v>
      </c>
      <c r="C107" s="50" t="s">
        <v>5</v>
      </c>
      <c r="D107" s="50" t="s">
        <v>4</v>
      </c>
      <c r="E107" s="52" t="s">
        <v>1857</v>
      </c>
      <c r="F107" s="58"/>
      <c r="G107" s="58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8"/>
      <c r="U107" s="53"/>
      <c r="V107" s="54">
        <v>3</v>
      </c>
      <c r="W107" s="55" t="s">
        <v>1019</v>
      </c>
      <c r="X107" s="54"/>
      <c r="Y107" s="54"/>
      <c r="Z107" s="100"/>
      <c r="AA107" s="56"/>
      <c r="AB107" s="56"/>
      <c r="AC107" s="54"/>
    </row>
    <row r="108" spans="1:29" s="7" customFormat="1" outlineLevel="3" x14ac:dyDescent="0.25">
      <c r="A108" s="50" t="s">
        <v>5</v>
      </c>
      <c r="B108" s="50" t="s">
        <v>5</v>
      </c>
      <c r="C108" s="50" t="s">
        <v>5</v>
      </c>
      <c r="D108" s="50" t="s">
        <v>4</v>
      </c>
      <c r="E108" s="52" t="s">
        <v>1835</v>
      </c>
      <c r="F108" s="58"/>
      <c r="G108" s="58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8"/>
      <c r="U108" s="53"/>
      <c r="V108" s="54">
        <v>6</v>
      </c>
      <c r="W108" s="55" t="s">
        <v>1019</v>
      </c>
      <c r="X108" s="54"/>
      <c r="Y108" s="54"/>
      <c r="Z108" s="100"/>
      <c r="AA108" s="56"/>
      <c r="AB108" s="56"/>
      <c r="AC108" s="54"/>
    </row>
    <row r="109" spans="1:29" s="7" customFormat="1" outlineLevel="3" x14ac:dyDescent="0.25">
      <c r="A109" s="50" t="s">
        <v>5</v>
      </c>
      <c r="B109" s="50" t="s">
        <v>5</v>
      </c>
      <c r="C109" s="50" t="s">
        <v>5</v>
      </c>
      <c r="D109" s="50" t="s">
        <v>4</v>
      </c>
      <c r="E109" s="52" t="s">
        <v>1089</v>
      </c>
      <c r="F109" s="58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8"/>
      <c r="U109" s="53"/>
      <c r="V109" s="54">
        <v>3</v>
      </c>
      <c r="W109" s="55" t="s">
        <v>1019</v>
      </c>
      <c r="X109" s="54"/>
      <c r="Y109" s="54"/>
      <c r="Z109" s="100"/>
      <c r="AA109" s="56"/>
      <c r="AB109" s="56"/>
      <c r="AC109" s="54"/>
    </row>
    <row r="110" spans="1:29" s="7" customFormat="1" outlineLevel="3" x14ac:dyDescent="0.25">
      <c r="A110" s="50" t="s">
        <v>5</v>
      </c>
      <c r="B110" s="50" t="s">
        <v>5</v>
      </c>
      <c r="C110" s="50" t="s">
        <v>5</v>
      </c>
      <c r="D110" s="50" t="s">
        <v>4</v>
      </c>
      <c r="E110" s="52" t="s">
        <v>1090</v>
      </c>
      <c r="F110" s="58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8"/>
      <c r="U110" s="53"/>
      <c r="V110" s="54">
        <v>3</v>
      </c>
      <c r="W110" s="55" t="s">
        <v>1019</v>
      </c>
      <c r="X110" s="54"/>
      <c r="Y110" s="54"/>
      <c r="Z110" s="100"/>
      <c r="AA110" s="56"/>
      <c r="AB110" s="56"/>
      <c r="AC110" s="54"/>
    </row>
    <row r="111" spans="1:29" s="7" customFormat="1" outlineLevel="3" x14ac:dyDescent="0.25">
      <c r="A111" s="50" t="s">
        <v>5</v>
      </c>
      <c r="B111" s="50" t="s">
        <v>5</v>
      </c>
      <c r="C111" s="50" t="s">
        <v>5</v>
      </c>
      <c r="D111" s="50" t="s">
        <v>4</v>
      </c>
      <c r="E111" s="52" t="s">
        <v>1838</v>
      </c>
      <c r="F111" s="58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8"/>
      <c r="U111" s="53"/>
      <c r="V111" s="54">
        <v>3</v>
      </c>
      <c r="W111" s="55" t="s">
        <v>1019</v>
      </c>
      <c r="X111" s="54"/>
      <c r="Y111" s="54"/>
      <c r="Z111" s="100"/>
      <c r="AA111" s="56"/>
      <c r="AB111" s="56"/>
      <c r="AC111" s="54"/>
    </row>
    <row r="112" spans="1:29" s="7" customFormat="1" outlineLevel="3" x14ac:dyDescent="0.25">
      <c r="A112" s="1" t="s">
        <v>5</v>
      </c>
      <c r="B112" s="1" t="s">
        <v>5</v>
      </c>
      <c r="C112" s="1" t="s">
        <v>5</v>
      </c>
      <c r="D112" s="1" t="s">
        <v>4</v>
      </c>
      <c r="E112" s="13" t="s">
        <v>1776</v>
      </c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7">
        <v>234382</v>
      </c>
      <c r="V112" s="18">
        <v>1</v>
      </c>
      <c r="W112" s="47" t="s">
        <v>1019</v>
      </c>
      <c r="X112" s="18" t="s">
        <v>129</v>
      </c>
      <c r="Y112" s="21" t="s">
        <v>1777</v>
      </c>
      <c r="Z112" s="98"/>
      <c r="AA112" s="19"/>
      <c r="AB112" s="19"/>
      <c r="AC112" s="18"/>
    </row>
    <row r="113" spans="1:29" s="7" customFormat="1" outlineLevel="3" x14ac:dyDescent="0.25">
      <c r="A113" s="50" t="s">
        <v>5</v>
      </c>
      <c r="B113" s="50" t="s">
        <v>5</v>
      </c>
      <c r="C113" s="50" t="s">
        <v>5</v>
      </c>
      <c r="D113" s="50" t="s">
        <v>4</v>
      </c>
      <c r="E113" s="52" t="s">
        <v>1003</v>
      </c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8"/>
      <c r="U113" s="53" t="s">
        <v>1001</v>
      </c>
      <c r="V113" s="54">
        <v>1</v>
      </c>
      <c r="W113" s="55" t="s">
        <v>1019</v>
      </c>
      <c r="X113" s="54" t="s">
        <v>1002</v>
      </c>
      <c r="Y113" s="59" t="s">
        <v>1004</v>
      </c>
      <c r="Z113" s="100"/>
      <c r="AA113" s="56"/>
      <c r="AB113" s="56"/>
      <c r="AC113" s="54"/>
    </row>
    <row r="114" spans="1:29" s="7" customFormat="1" outlineLevel="3" x14ac:dyDescent="0.25">
      <c r="A114" s="1" t="s">
        <v>5</v>
      </c>
      <c r="B114" s="1" t="s">
        <v>5</v>
      </c>
      <c r="C114" s="1" t="s">
        <v>5</v>
      </c>
      <c r="D114" s="1" t="s">
        <v>4</v>
      </c>
      <c r="E114" s="13" t="s">
        <v>1880</v>
      </c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7">
        <v>1023700000</v>
      </c>
      <c r="V114" s="18">
        <v>9</v>
      </c>
      <c r="W114" s="47" t="s">
        <v>1019</v>
      </c>
      <c r="X114" s="18" t="s">
        <v>134</v>
      </c>
      <c r="Y114" s="18"/>
      <c r="Z114" s="98"/>
      <c r="AA114" s="19">
        <v>221.4</v>
      </c>
      <c r="AB114" s="19"/>
      <c r="AC114" s="18"/>
    </row>
    <row r="115" spans="1:29" s="7" customFormat="1" outlineLevel="3" x14ac:dyDescent="0.25">
      <c r="A115" s="1" t="s">
        <v>5</v>
      </c>
      <c r="B115" s="1" t="s">
        <v>5</v>
      </c>
      <c r="C115" s="1" t="s">
        <v>5</v>
      </c>
      <c r="D115" s="1" t="s">
        <v>4</v>
      </c>
      <c r="E115" s="13" t="s">
        <v>130</v>
      </c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7" t="s">
        <v>131</v>
      </c>
      <c r="V115" s="18">
        <v>1</v>
      </c>
      <c r="W115" s="47" t="s">
        <v>1019</v>
      </c>
      <c r="X115" s="18" t="s">
        <v>132</v>
      </c>
      <c r="Y115" s="18"/>
      <c r="Z115" s="98"/>
      <c r="AA115" s="19">
        <v>3827.68</v>
      </c>
      <c r="AB115" s="19"/>
      <c r="AC115" s="18"/>
    </row>
    <row r="116" spans="1:29" s="7" customFormat="1" outlineLevel="3" x14ac:dyDescent="0.25">
      <c r="A116" s="50" t="s">
        <v>5</v>
      </c>
      <c r="B116" s="50" t="s">
        <v>5</v>
      </c>
      <c r="C116" s="50" t="s">
        <v>5</v>
      </c>
      <c r="D116" s="50" t="s">
        <v>4</v>
      </c>
      <c r="E116" s="52" t="s">
        <v>1881</v>
      </c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8"/>
      <c r="U116" s="53">
        <v>1060000000</v>
      </c>
      <c r="V116" s="54">
        <v>3</v>
      </c>
      <c r="W116" s="55" t="s">
        <v>1019</v>
      </c>
      <c r="X116" s="54" t="s">
        <v>134</v>
      </c>
      <c r="Y116" s="54"/>
      <c r="Z116" s="100"/>
      <c r="AA116" s="56">
        <v>169</v>
      </c>
      <c r="AB116" s="56"/>
      <c r="AC116" s="54"/>
    </row>
    <row r="117" spans="1:29" s="7" customFormat="1" outlineLevel="3" x14ac:dyDescent="0.25">
      <c r="A117" s="50" t="s">
        <v>5</v>
      </c>
      <c r="B117" s="50" t="s">
        <v>5</v>
      </c>
      <c r="C117" s="50" t="s">
        <v>5</v>
      </c>
      <c r="D117" s="50" t="s">
        <v>4</v>
      </c>
      <c r="E117" s="52" t="s">
        <v>1882</v>
      </c>
      <c r="F117" s="58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8"/>
      <c r="U117" s="53"/>
      <c r="V117" s="54">
        <v>0.28000000000000003</v>
      </c>
      <c r="W117" s="55" t="s">
        <v>1018</v>
      </c>
      <c r="X117" s="54"/>
      <c r="Y117" s="54"/>
      <c r="Z117" s="100"/>
      <c r="AA117" s="56"/>
      <c r="AB117" s="56"/>
      <c r="AC117" s="54"/>
    </row>
    <row r="118" spans="1:29" s="7" customFormat="1" outlineLevel="3" x14ac:dyDescent="0.25">
      <c r="A118" s="50" t="s">
        <v>5</v>
      </c>
      <c r="B118" s="50" t="s">
        <v>5</v>
      </c>
      <c r="C118" s="50" t="s">
        <v>5</v>
      </c>
      <c r="D118" s="50" t="s">
        <v>4</v>
      </c>
      <c r="E118" s="52" t="s">
        <v>1883</v>
      </c>
      <c r="F118" s="58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8"/>
      <c r="U118" s="53">
        <v>1053760000</v>
      </c>
      <c r="V118" s="54">
        <v>3</v>
      </c>
      <c r="W118" s="55" t="s">
        <v>1019</v>
      </c>
      <c r="X118" s="54" t="s">
        <v>134</v>
      </c>
      <c r="Y118" s="54"/>
      <c r="Z118" s="100"/>
      <c r="AA118" s="56">
        <v>318</v>
      </c>
      <c r="AB118" s="56"/>
      <c r="AC118" s="54"/>
    </row>
    <row r="119" spans="1:29" s="7" customFormat="1" outlineLevel="3" x14ac:dyDescent="0.25">
      <c r="A119" s="1" t="s">
        <v>5</v>
      </c>
      <c r="B119" s="1" t="s">
        <v>5</v>
      </c>
      <c r="C119" s="1" t="s">
        <v>5</v>
      </c>
      <c r="D119" s="1" t="s">
        <v>4</v>
      </c>
      <c r="E119" s="13" t="s">
        <v>1884</v>
      </c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7" t="s">
        <v>133</v>
      </c>
      <c r="V119" s="18">
        <v>1</v>
      </c>
      <c r="W119" s="47" t="s">
        <v>1019</v>
      </c>
      <c r="X119" s="18" t="s">
        <v>132</v>
      </c>
      <c r="Y119" s="18"/>
      <c r="Z119" s="98"/>
      <c r="AA119" s="19">
        <v>274.68</v>
      </c>
      <c r="AB119" s="19"/>
      <c r="AC119" s="18"/>
    </row>
    <row r="120" spans="1:29" s="7" customFormat="1" outlineLevel="3" x14ac:dyDescent="0.25">
      <c r="A120" s="1" t="s">
        <v>5</v>
      </c>
      <c r="B120" s="1" t="s">
        <v>5</v>
      </c>
      <c r="C120" s="1" t="s">
        <v>5</v>
      </c>
      <c r="D120" s="1" t="s">
        <v>49</v>
      </c>
      <c r="E120" s="13" t="s">
        <v>1885</v>
      </c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7"/>
      <c r="V120" s="18">
        <v>2</v>
      </c>
      <c r="W120" s="47" t="s">
        <v>1019</v>
      </c>
      <c r="X120" s="18"/>
      <c r="Y120" s="18"/>
      <c r="Z120" s="98"/>
      <c r="AA120" s="19"/>
      <c r="AB120" s="19"/>
      <c r="AC120" s="18"/>
    </row>
    <row r="121" spans="1:29" s="7" customFormat="1" outlineLevel="2" x14ac:dyDescent="0.25">
      <c r="A121" s="1" t="s">
        <v>5</v>
      </c>
      <c r="B121" s="1" t="s">
        <v>5</v>
      </c>
      <c r="C121" s="1" t="s">
        <v>4</v>
      </c>
      <c r="D121" s="5" t="s">
        <v>599</v>
      </c>
      <c r="E121" s="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7" t="s">
        <v>2227</v>
      </c>
      <c r="V121" s="18">
        <v>1</v>
      </c>
      <c r="W121" s="47" t="s">
        <v>1019</v>
      </c>
      <c r="X121" s="18"/>
      <c r="Y121" s="18"/>
      <c r="Z121" s="98"/>
      <c r="AA121" s="19"/>
      <c r="AB121" s="19"/>
      <c r="AC121" s="18"/>
    </row>
    <row r="122" spans="1:29" s="7" customFormat="1" outlineLevel="3" x14ac:dyDescent="0.25">
      <c r="A122" s="50" t="s">
        <v>5</v>
      </c>
      <c r="B122" s="50" t="s">
        <v>5</v>
      </c>
      <c r="C122" s="50" t="s">
        <v>5</v>
      </c>
      <c r="D122" s="50" t="s">
        <v>4</v>
      </c>
      <c r="E122" s="51" t="s">
        <v>2491</v>
      </c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8"/>
      <c r="U122" s="53" t="s">
        <v>2228</v>
      </c>
      <c r="V122" s="54">
        <v>1</v>
      </c>
      <c r="W122" s="55" t="s">
        <v>1019</v>
      </c>
      <c r="X122" s="54"/>
      <c r="Y122" s="54"/>
      <c r="Z122" s="100"/>
      <c r="AA122" s="56"/>
      <c r="AB122" s="56"/>
      <c r="AC122" s="54"/>
    </row>
    <row r="123" spans="1:29" s="7" customFormat="1" outlineLevel="4" x14ac:dyDescent="0.25">
      <c r="A123" s="50" t="s">
        <v>5</v>
      </c>
      <c r="B123" s="50" t="s">
        <v>5</v>
      </c>
      <c r="C123" s="50" t="s">
        <v>5</v>
      </c>
      <c r="D123" s="50" t="s">
        <v>5</v>
      </c>
      <c r="E123" s="50" t="s">
        <v>4</v>
      </c>
      <c r="F123" s="52" t="s">
        <v>932</v>
      </c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8"/>
      <c r="U123" s="53">
        <v>50375023</v>
      </c>
      <c r="V123" s="54">
        <v>1</v>
      </c>
      <c r="W123" s="55" t="s">
        <v>1019</v>
      </c>
      <c r="X123" s="54" t="s">
        <v>930</v>
      </c>
      <c r="Y123" s="59" t="s">
        <v>935</v>
      </c>
      <c r="Z123" s="100"/>
      <c r="AA123" s="56">
        <v>2.5</v>
      </c>
      <c r="AB123" s="56"/>
      <c r="AC123" s="54"/>
    </row>
    <row r="124" spans="1:29" s="7" customFormat="1" outlineLevel="4" x14ac:dyDescent="0.25">
      <c r="A124" s="50" t="s">
        <v>5</v>
      </c>
      <c r="B124" s="50" t="s">
        <v>5</v>
      </c>
      <c r="C124" s="50" t="s">
        <v>5</v>
      </c>
      <c r="D124" s="50" t="s">
        <v>5</v>
      </c>
      <c r="E124" s="50" t="s">
        <v>4</v>
      </c>
      <c r="F124" s="52" t="s">
        <v>1076</v>
      </c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8"/>
      <c r="U124" s="62" t="s">
        <v>1078</v>
      </c>
      <c r="V124" s="54">
        <v>2</v>
      </c>
      <c r="W124" s="55" t="s">
        <v>1019</v>
      </c>
      <c r="X124" s="54" t="s">
        <v>930</v>
      </c>
      <c r="Y124" s="61" t="s">
        <v>1077</v>
      </c>
      <c r="Z124" s="100"/>
      <c r="AA124" s="56"/>
      <c r="AB124" s="56"/>
      <c r="AC124" s="54"/>
    </row>
    <row r="125" spans="1:29" s="7" customFormat="1" outlineLevel="4" x14ac:dyDescent="0.25">
      <c r="A125" s="1" t="s">
        <v>5</v>
      </c>
      <c r="B125" s="1" t="s">
        <v>5</v>
      </c>
      <c r="C125" s="1" t="s">
        <v>5</v>
      </c>
      <c r="D125" s="1" t="s">
        <v>5</v>
      </c>
      <c r="E125" s="1" t="s">
        <v>4</v>
      </c>
      <c r="F125" s="13" t="s">
        <v>225</v>
      </c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7" t="s">
        <v>904</v>
      </c>
      <c r="V125" s="18">
        <v>1</v>
      </c>
      <c r="W125" s="47" t="s">
        <v>1019</v>
      </c>
      <c r="X125" s="18"/>
      <c r="Y125" s="25" t="s">
        <v>224</v>
      </c>
      <c r="Z125" s="98"/>
      <c r="AA125" s="19">
        <v>65.2</v>
      </c>
      <c r="AB125" s="19"/>
      <c r="AC125" s="18" t="s">
        <v>1123</v>
      </c>
    </row>
    <row r="126" spans="1:29" s="7" customFormat="1" outlineLevel="4" x14ac:dyDescent="0.25">
      <c r="A126" s="50" t="s">
        <v>5</v>
      </c>
      <c r="B126" s="50" t="s">
        <v>5</v>
      </c>
      <c r="C126" s="50" t="s">
        <v>5</v>
      </c>
      <c r="D126" s="50" t="s">
        <v>5</v>
      </c>
      <c r="E126" s="50" t="s">
        <v>4</v>
      </c>
      <c r="F126" s="52" t="s">
        <v>1903</v>
      </c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8"/>
      <c r="U126" s="53"/>
      <c r="V126" s="54">
        <v>1.5</v>
      </c>
      <c r="W126" s="55" t="s">
        <v>1018</v>
      </c>
      <c r="X126" s="54"/>
      <c r="Y126" s="66"/>
      <c r="Z126" s="100"/>
      <c r="AA126" s="56"/>
      <c r="AB126" s="56"/>
      <c r="AC126" s="54"/>
    </row>
    <row r="127" spans="1:29" s="7" customFormat="1" outlineLevel="4" x14ac:dyDescent="0.25">
      <c r="A127" s="50" t="s">
        <v>5</v>
      </c>
      <c r="B127" s="50" t="s">
        <v>5</v>
      </c>
      <c r="C127" s="50" t="s">
        <v>5</v>
      </c>
      <c r="D127" s="50" t="s">
        <v>5</v>
      </c>
      <c r="E127" s="50" t="s">
        <v>4</v>
      </c>
      <c r="F127" s="52" t="s">
        <v>1065</v>
      </c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8"/>
      <c r="U127" s="53"/>
      <c r="V127" s="54">
        <v>0.65</v>
      </c>
      <c r="W127" s="55" t="s">
        <v>1018</v>
      </c>
      <c r="X127" s="54"/>
      <c r="Y127" s="60"/>
      <c r="Z127" s="100"/>
      <c r="AA127" s="56"/>
      <c r="AB127" s="56"/>
      <c r="AC127" s="54"/>
    </row>
    <row r="128" spans="1:29" s="7" customFormat="1" outlineLevel="4" x14ac:dyDescent="0.25">
      <c r="A128" s="50" t="s">
        <v>5</v>
      </c>
      <c r="B128" s="50" t="s">
        <v>5</v>
      </c>
      <c r="C128" s="50" t="s">
        <v>5</v>
      </c>
      <c r="D128" s="50" t="s">
        <v>5</v>
      </c>
      <c r="E128" s="50" t="s">
        <v>49</v>
      </c>
      <c r="F128" s="52" t="s">
        <v>1072</v>
      </c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8"/>
      <c r="U128" s="53"/>
      <c r="V128" s="54">
        <v>0.1</v>
      </c>
      <c r="W128" s="55" t="s">
        <v>1018</v>
      </c>
      <c r="X128" s="54"/>
      <c r="Y128" s="60"/>
      <c r="Z128" s="100"/>
      <c r="AA128" s="56"/>
      <c r="AB128" s="56"/>
      <c r="AC128" s="54"/>
    </row>
    <row r="129" spans="1:29" s="7" customFormat="1" outlineLevel="3" x14ac:dyDescent="0.25">
      <c r="A129" s="50" t="s">
        <v>5</v>
      </c>
      <c r="B129" s="50" t="s">
        <v>5</v>
      </c>
      <c r="C129" s="50" t="s">
        <v>5</v>
      </c>
      <c r="D129" s="50" t="s">
        <v>4</v>
      </c>
      <c r="E129" s="52" t="s">
        <v>601</v>
      </c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8"/>
      <c r="U129" s="53" t="s">
        <v>2229</v>
      </c>
      <c r="V129" s="54">
        <v>1</v>
      </c>
      <c r="W129" s="55" t="s">
        <v>1019</v>
      </c>
      <c r="X129" s="54"/>
      <c r="Y129" s="54"/>
      <c r="Z129" s="100"/>
      <c r="AA129" s="56"/>
      <c r="AB129" s="56"/>
      <c r="AC129" s="54"/>
    </row>
    <row r="130" spans="1:29" s="7" customFormat="1" outlineLevel="3" x14ac:dyDescent="0.25">
      <c r="A130" s="1" t="s">
        <v>5</v>
      </c>
      <c r="B130" s="1" t="s">
        <v>5</v>
      </c>
      <c r="C130" s="1" t="s">
        <v>5</v>
      </c>
      <c r="D130" s="1" t="s">
        <v>4</v>
      </c>
      <c r="E130" s="5" t="s">
        <v>2129</v>
      </c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7" t="s">
        <v>2492</v>
      </c>
      <c r="V130" s="18">
        <v>1</v>
      </c>
      <c r="W130" s="47" t="s">
        <v>1019</v>
      </c>
      <c r="X130" s="18"/>
      <c r="Y130" s="18"/>
      <c r="Z130" s="98"/>
      <c r="AA130" s="19"/>
      <c r="AB130" s="19"/>
      <c r="AC130" s="18"/>
    </row>
    <row r="131" spans="1:29" s="7" customFormat="1" outlineLevel="4" x14ac:dyDescent="0.25">
      <c r="A131" s="2" t="s">
        <v>5</v>
      </c>
      <c r="B131" s="2" t="s">
        <v>5</v>
      </c>
      <c r="C131" s="2" t="s">
        <v>5</v>
      </c>
      <c r="D131" s="2" t="s">
        <v>5</v>
      </c>
      <c r="E131" s="2" t="s">
        <v>4</v>
      </c>
      <c r="F131" s="42" t="s">
        <v>605</v>
      </c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57"/>
      <c r="U131" s="63"/>
      <c r="V131" s="43">
        <v>1</v>
      </c>
      <c r="W131" s="49"/>
      <c r="X131" s="43"/>
      <c r="Y131" s="43"/>
      <c r="Z131" s="99"/>
      <c r="AA131" s="44"/>
      <c r="AB131" s="44"/>
      <c r="AC131" s="43"/>
    </row>
    <row r="132" spans="1:29" s="7" customFormat="1" outlineLevel="4" x14ac:dyDescent="0.25">
      <c r="A132" s="2" t="s">
        <v>5</v>
      </c>
      <c r="B132" s="2" t="s">
        <v>5</v>
      </c>
      <c r="C132" s="2" t="s">
        <v>5</v>
      </c>
      <c r="D132" s="2" t="s">
        <v>5</v>
      </c>
      <c r="E132" s="2" t="s">
        <v>4</v>
      </c>
      <c r="F132" s="42" t="s">
        <v>606</v>
      </c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57"/>
      <c r="U132" s="63"/>
      <c r="V132" s="43">
        <v>1</v>
      </c>
      <c r="W132" s="49"/>
      <c r="X132" s="43"/>
      <c r="Y132" s="43"/>
      <c r="Z132" s="99"/>
      <c r="AA132" s="44"/>
      <c r="AB132" s="44"/>
      <c r="AC132" s="43"/>
    </row>
    <row r="133" spans="1:29" s="7" customFormat="1" outlineLevel="4" x14ac:dyDescent="0.25">
      <c r="A133" s="2" t="s">
        <v>5</v>
      </c>
      <c r="B133" s="2" t="s">
        <v>5</v>
      </c>
      <c r="C133" s="2" t="s">
        <v>5</v>
      </c>
      <c r="D133" s="2" t="s">
        <v>5</v>
      </c>
      <c r="E133" s="2" t="s">
        <v>49</v>
      </c>
      <c r="F133" s="42" t="s">
        <v>326</v>
      </c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57"/>
      <c r="U133" s="63"/>
      <c r="V133" s="43">
        <v>1</v>
      </c>
      <c r="W133" s="49"/>
      <c r="X133" s="43"/>
      <c r="Y133" s="43"/>
      <c r="Z133" s="99"/>
      <c r="AA133" s="44"/>
      <c r="AB133" s="44"/>
      <c r="AC133" s="43"/>
    </row>
    <row r="134" spans="1:29" s="7" customFormat="1" outlineLevel="3" x14ac:dyDescent="0.25">
      <c r="A134" s="1" t="s">
        <v>5</v>
      </c>
      <c r="B134" s="1" t="s">
        <v>5</v>
      </c>
      <c r="C134" s="1" t="s">
        <v>5</v>
      </c>
      <c r="D134" s="1" t="s">
        <v>4</v>
      </c>
      <c r="E134" s="13" t="s">
        <v>600</v>
      </c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7" t="s">
        <v>2493</v>
      </c>
      <c r="V134" s="18">
        <v>1</v>
      </c>
      <c r="W134" s="47" t="s">
        <v>1019</v>
      </c>
      <c r="X134" s="18"/>
      <c r="Y134" s="18"/>
      <c r="Z134" s="98"/>
      <c r="AA134" s="19"/>
      <c r="AB134" s="19"/>
      <c r="AC134" s="18"/>
    </row>
    <row r="135" spans="1:29" s="7" customFormat="1" outlineLevel="3" x14ac:dyDescent="0.25">
      <c r="A135" s="1" t="s">
        <v>5</v>
      </c>
      <c r="B135" s="1" t="s">
        <v>5</v>
      </c>
      <c r="C135" s="1" t="s">
        <v>5</v>
      </c>
      <c r="D135" s="1" t="s">
        <v>4</v>
      </c>
      <c r="E135" s="13" t="s">
        <v>321</v>
      </c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7" t="s">
        <v>2494</v>
      </c>
      <c r="V135" s="18">
        <v>1</v>
      </c>
      <c r="W135" s="47" t="s">
        <v>1019</v>
      </c>
      <c r="X135" s="18"/>
      <c r="Y135" s="17"/>
      <c r="Z135" s="98"/>
      <c r="AA135" s="19"/>
      <c r="AB135" s="19"/>
      <c r="AC135" s="18"/>
    </row>
    <row r="136" spans="1:29" s="7" customFormat="1" outlineLevel="3" x14ac:dyDescent="0.25">
      <c r="A136" s="1" t="s">
        <v>5</v>
      </c>
      <c r="B136" s="1" t="s">
        <v>5</v>
      </c>
      <c r="C136" s="1" t="s">
        <v>5</v>
      </c>
      <c r="D136" s="1" t="s">
        <v>4</v>
      </c>
      <c r="E136" s="13" t="s">
        <v>557</v>
      </c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7" t="s">
        <v>2495</v>
      </c>
      <c r="V136" s="18">
        <v>1</v>
      </c>
      <c r="W136" s="47" t="s">
        <v>1019</v>
      </c>
      <c r="X136" s="18"/>
      <c r="Y136" s="18"/>
      <c r="Z136" s="98"/>
      <c r="AA136" s="19"/>
      <c r="AB136" s="19"/>
      <c r="AC136" s="18"/>
    </row>
    <row r="137" spans="1:29" s="7" customFormat="1" outlineLevel="3" x14ac:dyDescent="0.25">
      <c r="A137" s="50" t="s">
        <v>5</v>
      </c>
      <c r="B137" s="50" t="s">
        <v>5</v>
      </c>
      <c r="C137" s="50" t="s">
        <v>5</v>
      </c>
      <c r="D137" s="50" t="s">
        <v>4</v>
      </c>
      <c r="E137" s="52" t="s">
        <v>1886</v>
      </c>
      <c r="F137" s="58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8"/>
      <c r="U137" s="53"/>
      <c r="V137" s="54">
        <v>2</v>
      </c>
      <c r="W137" s="55" t="s">
        <v>1019</v>
      </c>
      <c r="X137" s="54"/>
      <c r="Y137" s="54"/>
      <c r="Z137" s="100"/>
      <c r="AA137" s="56"/>
      <c r="AB137" s="56"/>
      <c r="AC137" s="54"/>
    </row>
    <row r="138" spans="1:29" s="7" customFormat="1" outlineLevel="3" x14ac:dyDescent="0.25">
      <c r="A138" s="50" t="s">
        <v>5</v>
      </c>
      <c r="B138" s="50" t="s">
        <v>5</v>
      </c>
      <c r="C138" s="50" t="s">
        <v>5</v>
      </c>
      <c r="D138" s="50" t="s">
        <v>4</v>
      </c>
      <c r="E138" s="52" t="s">
        <v>1887</v>
      </c>
      <c r="F138" s="58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8"/>
      <c r="U138" s="53"/>
      <c r="V138" s="54">
        <v>1</v>
      </c>
      <c r="W138" s="55" t="s">
        <v>1019</v>
      </c>
      <c r="X138" s="54"/>
      <c r="Y138" s="54"/>
      <c r="Z138" s="100"/>
      <c r="AA138" s="56"/>
      <c r="AB138" s="56"/>
      <c r="AC138" s="54"/>
    </row>
    <row r="139" spans="1:29" s="7" customFormat="1" outlineLevel="3" x14ac:dyDescent="0.25">
      <c r="A139" s="50" t="s">
        <v>5</v>
      </c>
      <c r="B139" s="50" t="s">
        <v>5</v>
      </c>
      <c r="C139" s="50" t="s">
        <v>5</v>
      </c>
      <c r="D139" s="50" t="s">
        <v>4</v>
      </c>
      <c r="E139" s="52" t="s">
        <v>1107</v>
      </c>
      <c r="F139" s="58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8"/>
      <c r="U139" s="53"/>
      <c r="V139" s="54">
        <v>1</v>
      </c>
      <c r="W139" s="55" t="s">
        <v>1019</v>
      </c>
      <c r="X139" s="54"/>
      <c r="Y139" s="54"/>
      <c r="Z139" s="100"/>
      <c r="AA139" s="56"/>
      <c r="AB139" s="56"/>
      <c r="AC139" s="54"/>
    </row>
    <row r="140" spans="1:29" s="7" customFormat="1" outlineLevel="3" x14ac:dyDescent="0.25">
      <c r="A140" s="1" t="s">
        <v>5</v>
      </c>
      <c r="B140" s="1" t="s">
        <v>5</v>
      </c>
      <c r="C140" s="1" t="s">
        <v>5</v>
      </c>
      <c r="D140" s="1" t="s">
        <v>4</v>
      </c>
      <c r="E140" s="5" t="s">
        <v>77</v>
      </c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7" t="s">
        <v>2230</v>
      </c>
      <c r="V140" s="18">
        <v>1</v>
      </c>
      <c r="W140" s="47" t="s">
        <v>1019</v>
      </c>
      <c r="X140" s="18"/>
      <c r="Y140" s="18"/>
      <c r="Z140" s="98"/>
      <c r="AA140" s="19">
        <v>6352</v>
      </c>
      <c r="AB140" s="19"/>
      <c r="AC140" s="18"/>
    </row>
    <row r="141" spans="1:29" s="7" customFormat="1" outlineLevel="3" x14ac:dyDescent="0.25">
      <c r="A141" s="2" t="s">
        <v>5</v>
      </c>
      <c r="B141" s="2" t="s">
        <v>5</v>
      </c>
      <c r="C141" s="2" t="s">
        <v>5</v>
      </c>
      <c r="D141" s="2" t="s">
        <v>4</v>
      </c>
      <c r="E141" s="42" t="s">
        <v>321</v>
      </c>
      <c r="F141" s="57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57"/>
      <c r="U141" s="63" t="s">
        <v>2496</v>
      </c>
      <c r="V141" s="43">
        <v>4</v>
      </c>
      <c r="W141" s="49"/>
      <c r="X141" s="43"/>
      <c r="Y141" s="43"/>
      <c r="Z141" s="99"/>
      <c r="AA141" s="44"/>
      <c r="AB141" s="44"/>
      <c r="AC141" s="43"/>
    </row>
    <row r="142" spans="1:29" s="7" customFormat="1" outlineLevel="3" x14ac:dyDescent="0.25">
      <c r="A142" s="2" t="s">
        <v>5</v>
      </c>
      <c r="B142" s="2" t="s">
        <v>5</v>
      </c>
      <c r="C142" s="2" t="s">
        <v>5</v>
      </c>
      <c r="D142" s="2" t="s">
        <v>4</v>
      </c>
      <c r="E142" s="42" t="s">
        <v>615</v>
      </c>
      <c r="F142" s="57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57"/>
      <c r="U142" s="63"/>
      <c r="V142" s="43">
        <v>4</v>
      </c>
      <c r="W142" s="49"/>
      <c r="X142" s="43"/>
      <c r="Y142" s="43"/>
      <c r="Z142" s="99"/>
      <c r="AA142" s="44"/>
      <c r="AB142" s="44"/>
      <c r="AC142" s="43"/>
    </row>
    <row r="143" spans="1:29" s="7" customFormat="1" outlineLevel="3" x14ac:dyDescent="0.25">
      <c r="A143" s="2" t="s">
        <v>5</v>
      </c>
      <c r="B143" s="2" t="s">
        <v>5</v>
      </c>
      <c r="C143" s="2" t="s">
        <v>5</v>
      </c>
      <c r="D143" s="2" t="s">
        <v>4</v>
      </c>
      <c r="E143" s="42" t="s">
        <v>303</v>
      </c>
      <c r="F143" s="57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57"/>
      <c r="U143" s="63"/>
      <c r="V143" s="43">
        <v>8</v>
      </c>
      <c r="W143" s="49"/>
      <c r="X143" s="43"/>
      <c r="Y143" s="43"/>
      <c r="Z143" s="99"/>
      <c r="AA143" s="44"/>
      <c r="AB143" s="44"/>
      <c r="AC143" s="43"/>
    </row>
    <row r="144" spans="1:29" s="7" customFormat="1" outlineLevel="3" x14ac:dyDescent="0.25">
      <c r="A144" s="2" t="s">
        <v>5</v>
      </c>
      <c r="B144" s="2" t="s">
        <v>5</v>
      </c>
      <c r="C144" s="2" t="s">
        <v>5</v>
      </c>
      <c r="D144" s="2" t="s">
        <v>4</v>
      </c>
      <c r="E144" s="42" t="s">
        <v>304</v>
      </c>
      <c r="F144" s="57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57"/>
      <c r="U144" s="63"/>
      <c r="V144" s="43">
        <v>4</v>
      </c>
      <c r="W144" s="49"/>
      <c r="X144" s="43"/>
      <c r="Y144" s="43"/>
      <c r="Z144" s="99"/>
      <c r="AA144" s="44"/>
      <c r="AB144" s="44"/>
      <c r="AC144" s="43"/>
    </row>
    <row r="145" spans="1:29" s="7" customFormat="1" outlineLevel="3" x14ac:dyDescent="0.25">
      <c r="A145" s="2" t="s">
        <v>5</v>
      </c>
      <c r="B145" s="2" t="s">
        <v>5</v>
      </c>
      <c r="C145" s="2" t="s">
        <v>5</v>
      </c>
      <c r="D145" s="2" t="s">
        <v>4</v>
      </c>
      <c r="E145" s="42" t="s">
        <v>603</v>
      </c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57"/>
      <c r="U145" s="63"/>
      <c r="V145" s="43" t="s">
        <v>604</v>
      </c>
      <c r="W145" s="49"/>
      <c r="X145" s="43"/>
      <c r="Y145" s="43"/>
      <c r="Z145" s="99"/>
      <c r="AA145" s="44"/>
      <c r="AB145" s="44"/>
      <c r="AC145" s="43"/>
    </row>
    <row r="146" spans="1:29" s="7" customFormat="1" outlineLevel="3" x14ac:dyDescent="0.25">
      <c r="A146" s="1" t="s">
        <v>5</v>
      </c>
      <c r="B146" s="1" t="s">
        <v>5</v>
      </c>
      <c r="C146" s="1" t="s">
        <v>5</v>
      </c>
      <c r="D146" s="1" t="s">
        <v>49</v>
      </c>
      <c r="E146" s="13" t="s">
        <v>602</v>
      </c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7"/>
      <c r="V146" s="18">
        <v>1</v>
      </c>
      <c r="W146" s="47" t="s">
        <v>1019</v>
      </c>
      <c r="X146" s="18"/>
      <c r="Y146" s="18"/>
      <c r="Z146" s="98"/>
      <c r="AA146" s="19"/>
      <c r="AB146" s="19"/>
      <c r="AC146" s="18"/>
    </row>
    <row r="147" spans="1:29" s="7" customFormat="1" outlineLevel="2" x14ac:dyDescent="0.25">
      <c r="A147" s="1" t="s">
        <v>5</v>
      </c>
      <c r="B147" s="1" t="s">
        <v>5</v>
      </c>
      <c r="C147" s="1" t="s">
        <v>4</v>
      </c>
      <c r="D147" s="5" t="s">
        <v>67</v>
      </c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7" t="s">
        <v>2231</v>
      </c>
      <c r="V147" s="18">
        <v>1</v>
      </c>
      <c r="W147" s="47" t="s">
        <v>1019</v>
      </c>
      <c r="X147" s="18"/>
      <c r="Y147" s="18"/>
      <c r="Z147" s="98"/>
      <c r="AA147" s="19"/>
      <c r="AB147" s="19"/>
      <c r="AC147" s="18"/>
    </row>
    <row r="148" spans="1:29" s="7" customFormat="1" outlineLevel="3" x14ac:dyDescent="0.25">
      <c r="A148" s="50" t="s">
        <v>5</v>
      </c>
      <c r="B148" s="50" t="s">
        <v>5</v>
      </c>
      <c r="C148" s="50" t="s">
        <v>5</v>
      </c>
      <c r="D148" s="50" t="s">
        <v>4</v>
      </c>
      <c r="E148" s="51" t="s">
        <v>1825</v>
      </c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8"/>
      <c r="U148" s="53" t="s">
        <v>2232</v>
      </c>
      <c r="V148" s="54">
        <v>1</v>
      </c>
      <c r="W148" s="55" t="s">
        <v>1019</v>
      </c>
      <c r="X148" s="54"/>
      <c r="Y148" s="54"/>
      <c r="Z148" s="100"/>
      <c r="AA148" s="56"/>
      <c r="AB148" s="56"/>
      <c r="AC148" s="54"/>
    </row>
    <row r="149" spans="1:29" s="7" customFormat="1" outlineLevel="4" x14ac:dyDescent="0.25">
      <c r="A149" s="50" t="s">
        <v>5</v>
      </c>
      <c r="B149" s="50" t="s">
        <v>5</v>
      </c>
      <c r="C149" s="50" t="s">
        <v>5</v>
      </c>
      <c r="D149" s="50" t="s">
        <v>5</v>
      </c>
      <c r="E149" s="50" t="s">
        <v>4</v>
      </c>
      <c r="F149" s="52" t="s">
        <v>1892</v>
      </c>
      <c r="G149" s="58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8"/>
      <c r="U149" s="53"/>
      <c r="V149" s="54">
        <v>2</v>
      </c>
      <c r="W149" s="55" t="s">
        <v>1019</v>
      </c>
      <c r="X149" s="54"/>
      <c r="Y149" s="54"/>
      <c r="Z149" s="100"/>
      <c r="AA149" s="56"/>
      <c r="AB149" s="56"/>
      <c r="AC149" s="54"/>
    </row>
    <row r="150" spans="1:29" s="7" customFormat="1" outlineLevel="4" x14ac:dyDescent="0.25">
      <c r="A150" s="50" t="s">
        <v>5</v>
      </c>
      <c r="B150" s="50" t="s">
        <v>5</v>
      </c>
      <c r="C150" s="50" t="s">
        <v>5</v>
      </c>
      <c r="D150" s="50" t="s">
        <v>5</v>
      </c>
      <c r="E150" s="50" t="s">
        <v>4</v>
      </c>
      <c r="F150" s="52" t="s">
        <v>1922</v>
      </c>
      <c r="G150" s="58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8"/>
      <c r="U150" s="53"/>
      <c r="V150" s="54">
        <v>0.35</v>
      </c>
      <c r="W150" s="55" t="s">
        <v>1018</v>
      </c>
      <c r="X150" s="54"/>
      <c r="Y150" s="54"/>
      <c r="Z150" s="100"/>
      <c r="AA150" s="56"/>
      <c r="AB150" s="56"/>
      <c r="AC150" s="54"/>
    </row>
    <row r="151" spans="1:29" s="7" customFormat="1" outlineLevel="4" x14ac:dyDescent="0.25">
      <c r="A151" s="50" t="s">
        <v>5</v>
      </c>
      <c r="B151" s="50" t="s">
        <v>5</v>
      </c>
      <c r="C151" s="50" t="s">
        <v>5</v>
      </c>
      <c r="D151" s="50" t="s">
        <v>5</v>
      </c>
      <c r="E151" s="50" t="s">
        <v>49</v>
      </c>
      <c r="F151" s="52" t="s">
        <v>1065</v>
      </c>
      <c r="G151" s="58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8"/>
      <c r="U151" s="53"/>
      <c r="V151" s="54">
        <v>0.31</v>
      </c>
      <c r="W151" s="55" t="s">
        <v>1018</v>
      </c>
      <c r="X151" s="54"/>
      <c r="Y151" s="54"/>
      <c r="Z151" s="100"/>
      <c r="AA151" s="56"/>
      <c r="AB151" s="56"/>
      <c r="AC151" s="54"/>
    </row>
    <row r="152" spans="1:29" s="7" customFormat="1" outlineLevel="3" x14ac:dyDescent="0.25">
      <c r="A152" s="50" t="s">
        <v>5</v>
      </c>
      <c r="B152" s="50" t="s">
        <v>5</v>
      </c>
      <c r="C152" s="50" t="s">
        <v>5</v>
      </c>
      <c r="D152" s="50" t="s">
        <v>4</v>
      </c>
      <c r="E152" s="51" t="s">
        <v>1826</v>
      </c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8"/>
      <c r="U152" s="53" t="s">
        <v>2233</v>
      </c>
      <c r="V152" s="54">
        <v>1</v>
      </c>
      <c r="W152" s="55" t="s">
        <v>1019</v>
      </c>
      <c r="X152" s="54"/>
      <c r="Y152" s="54"/>
      <c r="Z152" s="100"/>
      <c r="AA152" s="56"/>
      <c r="AB152" s="56"/>
      <c r="AC152" s="54"/>
    </row>
    <row r="153" spans="1:29" s="7" customFormat="1" outlineLevel="4" x14ac:dyDescent="0.25">
      <c r="A153" s="50" t="s">
        <v>5</v>
      </c>
      <c r="B153" s="50" t="s">
        <v>5</v>
      </c>
      <c r="C153" s="50" t="s">
        <v>5</v>
      </c>
      <c r="D153" s="50" t="s">
        <v>5</v>
      </c>
      <c r="E153" s="50" t="s">
        <v>4</v>
      </c>
      <c r="F153" s="52" t="s">
        <v>1892</v>
      </c>
      <c r="G153" s="58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8"/>
      <c r="U153" s="53"/>
      <c r="V153" s="54">
        <v>1</v>
      </c>
      <c r="W153" s="55" t="s">
        <v>1019</v>
      </c>
      <c r="X153" s="54"/>
      <c r="Y153" s="54"/>
      <c r="Z153" s="100"/>
      <c r="AA153" s="56"/>
      <c r="AB153" s="56"/>
      <c r="AC153" s="54"/>
    </row>
    <row r="154" spans="1:29" s="7" customFormat="1" outlineLevel="4" x14ac:dyDescent="0.25">
      <c r="A154" s="50" t="s">
        <v>5</v>
      </c>
      <c r="B154" s="50" t="s">
        <v>5</v>
      </c>
      <c r="C154" s="50" t="s">
        <v>5</v>
      </c>
      <c r="D154" s="50" t="s">
        <v>5</v>
      </c>
      <c r="E154" s="50" t="s">
        <v>4</v>
      </c>
      <c r="F154" s="52" t="s">
        <v>1893</v>
      </c>
      <c r="G154" s="58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8"/>
      <c r="U154" s="53"/>
      <c r="V154" s="54">
        <v>1</v>
      </c>
      <c r="W154" s="55" t="s">
        <v>1019</v>
      </c>
      <c r="X154" s="54"/>
      <c r="Y154" s="54"/>
      <c r="Z154" s="100"/>
      <c r="AA154" s="56"/>
      <c r="AB154" s="56"/>
      <c r="AC154" s="54"/>
    </row>
    <row r="155" spans="1:29" s="7" customFormat="1" outlineLevel="4" x14ac:dyDescent="0.25">
      <c r="A155" s="50" t="s">
        <v>5</v>
      </c>
      <c r="B155" s="50" t="s">
        <v>5</v>
      </c>
      <c r="C155" s="50" t="s">
        <v>5</v>
      </c>
      <c r="D155" s="50" t="s">
        <v>5</v>
      </c>
      <c r="E155" s="50" t="s">
        <v>4</v>
      </c>
      <c r="F155" s="52" t="s">
        <v>1922</v>
      </c>
      <c r="G155" s="58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8"/>
      <c r="U155" s="53"/>
      <c r="V155" s="54">
        <v>0.8</v>
      </c>
      <c r="W155" s="55" t="s">
        <v>1018</v>
      </c>
      <c r="X155" s="54"/>
      <c r="Y155" s="54"/>
      <c r="Z155" s="100"/>
      <c r="AA155" s="56"/>
      <c r="AB155" s="56"/>
      <c r="AC155" s="54"/>
    </row>
    <row r="156" spans="1:29" s="7" customFormat="1" outlineLevel="4" x14ac:dyDescent="0.25">
      <c r="A156" s="50" t="s">
        <v>5</v>
      </c>
      <c r="B156" s="50" t="s">
        <v>5</v>
      </c>
      <c r="C156" s="50" t="s">
        <v>5</v>
      </c>
      <c r="D156" s="50" t="s">
        <v>5</v>
      </c>
      <c r="E156" s="50" t="s">
        <v>49</v>
      </c>
      <c r="F156" s="52" t="s">
        <v>1065</v>
      </c>
      <c r="G156" s="58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8"/>
      <c r="U156" s="53"/>
      <c r="V156" s="54">
        <v>0.31</v>
      </c>
      <c r="W156" s="55" t="s">
        <v>1018</v>
      </c>
      <c r="X156" s="54"/>
      <c r="Y156" s="54"/>
      <c r="Z156" s="100"/>
      <c r="AA156" s="56"/>
      <c r="AB156" s="56"/>
      <c r="AC156" s="54"/>
    </row>
    <row r="157" spans="1:29" s="7" customFormat="1" outlineLevel="3" x14ac:dyDescent="0.25">
      <c r="A157" s="50" t="s">
        <v>5</v>
      </c>
      <c r="B157" s="50" t="s">
        <v>5</v>
      </c>
      <c r="C157" s="50" t="s">
        <v>5</v>
      </c>
      <c r="D157" s="50" t="s">
        <v>4</v>
      </c>
      <c r="E157" s="51" t="s">
        <v>1827</v>
      </c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8"/>
      <c r="U157" s="53" t="s">
        <v>2234</v>
      </c>
      <c r="V157" s="54">
        <v>1</v>
      </c>
      <c r="W157" s="55" t="s">
        <v>1019</v>
      </c>
      <c r="X157" s="54"/>
      <c r="Y157" s="54"/>
      <c r="Z157" s="100"/>
      <c r="AA157" s="56"/>
      <c r="AB157" s="56"/>
      <c r="AC157" s="54"/>
    </row>
    <row r="158" spans="1:29" s="7" customFormat="1" outlineLevel="4" x14ac:dyDescent="0.25">
      <c r="A158" s="50" t="s">
        <v>5</v>
      </c>
      <c r="B158" s="50" t="s">
        <v>5</v>
      </c>
      <c r="C158" s="50" t="s">
        <v>5</v>
      </c>
      <c r="D158" s="50" t="s">
        <v>5</v>
      </c>
      <c r="E158" s="50" t="s">
        <v>4</v>
      </c>
      <c r="F158" s="52" t="s">
        <v>1894</v>
      </c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8"/>
      <c r="U158" s="53">
        <v>50375043</v>
      </c>
      <c r="V158" s="54">
        <v>1</v>
      </c>
      <c r="W158" s="55" t="s">
        <v>1019</v>
      </c>
      <c r="X158" s="54" t="s">
        <v>930</v>
      </c>
      <c r="Y158" s="59" t="s">
        <v>935</v>
      </c>
      <c r="Z158" s="100"/>
      <c r="AA158" s="56">
        <v>2.5</v>
      </c>
      <c r="AB158" s="56"/>
      <c r="AC158" s="54"/>
    </row>
    <row r="159" spans="1:29" s="7" customFormat="1" outlineLevel="4" x14ac:dyDescent="0.25">
      <c r="A159" s="50" t="s">
        <v>5</v>
      </c>
      <c r="B159" s="50" t="s">
        <v>5</v>
      </c>
      <c r="C159" s="50" t="s">
        <v>5</v>
      </c>
      <c r="D159" s="50" t="s">
        <v>5</v>
      </c>
      <c r="E159" s="50" t="s">
        <v>4</v>
      </c>
      <c r="F159" s="52" t="s">
        <v>1076</v>
      </c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8"/>
      <c r="U159" s="62" t="s">
        <v>1078</v>
      </c>
      <c r="V159" s="54">
        <v>4</v>
      </c>
      <c r="W159" s="55" t="s">
        <v>1019</v>
      </c>
      <c r="X159" s="54" t="s">
        <v>930</v>
      </c>
      <c r="Y159" s="61" t="s">
        <v>1077</v>
      </c>
      <c r="Z159" s="100"/>
      <c r="AA159" s="56"/>
      <c r="AB159" s="56"/>
      <c r="AC159" s="54"/>
    </row>
    <row r="160" spans="1:29" s="7" customFormat="1" outlineLevel="4" x14ac:dyDescent="0.25">
      <c r="A160" s="50" t="s">
        <v>5</v>
      </c>
      <c r="B160" s="50" t="s">
        <v>5</v>
      </c>
      <c r="C160" s="50" t="s">
        <v>5</v>
      </c>
      <c r="D160" s="50" t="s">
        <v>5</v>
      </c>
      <c r="E160" s="50" t="s">
        <v>4</v>
      </c>
      <c r="F160" s="52" t="s">
        <v>230</v>
      </c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8"/>
      <c r="U160" s="53" t="s">
        <v>231</v>
      </c>
      <c r="V160" s="54">
        <v>3</v>
      </c>
      <c r="W160" s="55" t="s">
        <v>1019</v>
      </c>
      <c r="X160" s="54"/>
      <c r="Y160" s="60"/>
      <c r="Z160" s="100"/>
      <c r="AA160" s="56"/>
      <c r="AB160" s="56"/>
      <c r="AC160" s="54"/>
    </row>
    <row r="161" spans="1:29" s="7" customFormat="1" outlineLevel="4" x14ac:dyDescent="0.25">
      <c r="A161" s="50" t="s">
        <v>5</v>
      </c>
      <c r="B161" s="50" t="s">
        <v>5</v>
      </c>
      <c r="C161" s="50" t="s">
        <v>5</v>
      </c>
      <c r="D161" s="50" t="s">
        <v>5</v>
      </c>
      <c r="E161" s="50" t="s">
        <v>4</v>
      </c>
      <c r="F161" s="52" t="s">
        <v>1069</v>
      </c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8"/>
      <c r="U161" s="53" t="s">
        <v>1075</v>
      </c>
      <c r="V161" s="54">
        <v>2</v>
      </c>
      <c r="W161" s="55" t="s">
        <v>1019</v>
      </c>
      <c r="X161" s="54"/>
      <c r="Y161" s="60"/>
      <c r="Z161" s="100"/>
      <c r="AA161" s="56"/>
      <c r="AB161" s="56"/>
      <c r="AC161" s="54"/>
    </row>
    <row r="162" spans="1:29" s="7" customFormat="1" outlineLevel="4" x14ac:dyDescent="0.25">
      <c r="A162" s="50" t="s">
        <v>5</v>
      </c>
      <c r="B162" s="50" t="s">
        <v>5</v>
      </c>
      <c r="C162" s="50" t="s">
        <v>5</v>
      </c>
      <c r="D162" s="50" t="s">
        <v>5</v>
      </c>
      <c r="E162" s="50" t="s">
        <v>4</v>
      </c>
      <c r="F162" s="52" t="s">
        <v>1903</v>
      </c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8"/>
      <c r="U162" s="53"/>
      <c r="V162" s="54">
        <v>1</v>
      </c>
      <c r="W162" s="55" t="s">
        <v>1018</v>
      </c>
      <c r="X162" s="54"/>
      <c r="Y162" s="60"/>
      <c r="Z162" s="100"/>
      <c r="AA162" s="56"/>
      <c r="AB162" s="56"/>
      <c r="AC162" s="54"/>
    </row>
    <row r="163" spans="1:29" s="7" customFormat="1" outlineLevel="4" x14ac:dyDescent="0.25">
      <c r="A163" s="50" t="s">
        <v>5</v>
      </c>
      <c r="B163" s="50" t="s">
        <v>5</v>
      </c>
      <c r="C163" s="50" t="s">
        <v>5</v>
      </c>
      <c r="D163" s="50" t="s">
        <v>5</v>
      </c>
      <c r="E163" s="50" t="s">
        <v>4</v>
      </c>
      <c r="F163" s="52" t="s">
        <v>1917</v>
      </c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8"/>
      <c r="U163" s="53"/>
      <c r="V163" s="54">
        <v>0.55000000000000004</v>
      </c>
      <c r="W163" s="55" t="s">
        <v>1018</v>
      </c>
      <c r="X163" s="54"/>
      <c r="Y163" s="60"/>
      <c r="Z163" s="100"/>
      <c r="AA163" s="56"/>
      <c r="AB163" s="56"/>
      <c r="AC163" s="54"/>
    </row>
    <row r="164" spans="1:29" s="7" customFormat="1" outlineLevel="4" x14ac:dyDescent="0.25">
      <c r="A164" s="50" t="s">
        <v>5</v>
      </c>
      <c r="B164" s="50" t="s">
        <v>5</v>
      </c>
      <c r="C164" s="50" t="s">
        <v>5</v>
      </c>
      <c r="D164" s="50" t="s">
        <v>5</v>
      </c>
      <c r="E164" s="50" t="s">
        <v>49</v>
      </c>
      <c r="F164" s="52" t="s">
        <v>1065</v>
      </c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8"/>
      <c r="U164" s="53"/>
      <c r="V164" s="54">
        <v>0.36</v>
      </c>
      <c r="W164" s="55" t="s">
        <v>1018</v>
      </c>
      <c r="X164" s="54"/>
      <c r="Y164" s="60"/>
      <c r="Z164" s="100"/>
      <c r="AA164" s="56"/>
      <c r="AB164" s="56"/>
      <c r="AC164" s="54"/>
    </row>
    <row r="165" spans="1:29" s="7" customFormat="1" outlineLevel="3" x14ac:dyDescent="0.25">
      <c r="A165" s="50" t="s">
        <v>5</v>
      </c>
      <c r="B165" s="50" t="s">
        <v>5</v>
      </c>
      <c r="C165" s="50" t="s">
        <v>5</v>
      </c>
      <c r="D165" s="50" t="s">
        <v>4</v>
      </c>
      <c r="E165" s="51" t="s">
        <v>2497</v>
      </c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8"/>
      <c r="U165" s="53" t="s">
        <v>2235</v>
      </c>
      <c r="V165" s="54">
        <v>1</v>
      </c>
      <c r="W165" s="55" t="s">
        <v>1019</v>
      </c>
      <c r="X165" s="54"/>
      <c r="Y165" s="54"/>
      <c r="Z165" s="100"/>
      <c r="AA165" s="56"/>
      <c r="AB165" s="56"/>
      <c r="AC165" s="54"/>
    </row>
    <row r="166" spans="1:29" s="7" customFormat="1" outlineLevel="4" x14ac:dyDescent="0.25">
      <c r="A166" s="50" t="s">
        <v>5</v>
      </c>
      <c r="B166" s="50" t="s">
        <v>5</v>
      </c>
      <c r="C166" s="50" t="s">
        <v>5</v>
      </c>
      <c r="D166" s="50" t="s">
        <v>5</v>
      </c>
      <c r="E166" s="50" t="s">
        <v>4</v>
      </c>
      <c r="F166" s="52" t="s">
        <v>33</v>
      </c>
      <c r="G166" s="58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8"/>
      <c r="U166" s="53"/>
      <c r="V166" s="54">
        <v>1</v>
      </c>
      <c r="W166" s="55" t="s">
        <v>1019</v>
      </c>
      <c r="X166" s="54"/>
      <c r="Y166" s="54"/>
      <c r="Z166" s="100"/>
      <c r="AA166" s="56"/>
      <c r="AB166" s="56"/>
      <c r="AC166" s="54"/>
    </row>
    <row r="167" spans="1:29" s="7" customFormat="1" outlineLevel="4" x14ac:dyDescent="0.25">
      <c r="A167" s="50" t="s">
        <v>5</v>
      </c>
      <c r="B167" s="50" t="s">
        <v>5</v>
      </c>
      <c r="C167" s="50" t="s">
        <v>5</v>
      </c>
      <c r="D167" s="50" t="s">
        <v>5</v>
      </c>
      <c r="E167" s="50" t="s">
        <v>4</v>
      </c>
      <c r="F167" s="52" t="s">
        <v>936</v>
      </c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8"/>
      <c r="U167" s="53">
        <v>50375033</v>
      </c>
      <c r="V167" s="54">
        <v>1</v>
      </c>
      <c r="W167" s="55" t="s">
        <v>1019</v>
      </c>
      <c r="X167" s="54" t="s">
        <v>930</v>
      </c>
      <c r="Y167" s="59" t="s">
        <v>937</v>
      </c>
      <c r="Z167" s="100"/>
      <c r="AA167" s="56">
        <v>3.33</v>
      </c>
      <c r="AB167" s="56"/>
      <c r="AC167" s="54"/>
    </row>
    <row r="168" spans="1:29" s="7" customFormat="1" outlineLevel="4" x14ac:dyDescent="0.25">
      <c r="A168" s="50" t="s">
        <v>5</v>
      </c>
      <c r="B168" s="50" t="s">
        <v>5</v>
      </c>
      <c r="C168" s="50" t="s">
        <v>5</v>
      </c>
      <c r="D168" s="50" t="s">
        <v>5</v>
      </c>
      <c r="E168" s="50" t="s">
        <v>4</v>
      </c>
      <c r="F168" s="52" t="s">
        <v>1076</v>
      </c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8"/>
      <c r="U168" s="62" t="s">
        <v>1078</v>
      </c>
      <c r="V168" s="54">
        <v>3</v>
      </c>
      <c r="W168" s="55" t="s">
        <v>1019</v>
      </c>
      <c r="X168" s="54" t="s">
        <v>930</v>
      </c>
      <c r="Y168" s="61" t="s">
        <v>1077</v>
      </c>
      <c r="Z168" s="100"/>
      <c r="AA168" s="56"/>
      <c r="AB168" s="56"/>
      <c r="AC168" s="54"/>
    </row>
    <row r="169" spans="1:29" s="7" customFormat="1" outlineLevel="4" x14ac:dyDescent="0.25">
      <c r="A169" s="50" t="s">
        <v>5</v>
      </c>
      <c r="B169" s="50" t="s">
        <v>5</v>
      </c>
      <c r="C169" s="50" t="s">
        <v>5</v>
      </c>
      <c r="D169" s="50" t="s">
        <v>5</v>
      </c>
      <c r="E169" s="50" t="s">
        <v>4</v>
      </c>
      <c r="F169" s="52" t="s">
        <v>1903</v>
      </c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8"/>
      <c r="U169" s="53"/>
      <c r="V169" s="54">
        <v>1.4</v>
      </c>
      <c r="W169" s="55" t="s">
        <v>1018</v>
      </c>
      <c r="X169" s="54"/>
      <c r="Y169" s="60"/>
      <c r="Z169" s="100"/>
      <c r="AA169" s="56"/>
      <c r="AB169" s="56"/>
      <c r="AC169" s="54"/>
    </row>
    <row r="170" spans="1:29" s="7" customFormat="1" outlineLevel="4" x14ac:dyDescent="0.25">
      <c r="A170" s="50" t="s">
        <v>5</v>
      </c>
      <c r="B170" s="50" t="s">
        <v>5</v>
      </c>
      <c r="C170" s="50" t="s">
        <v>5</v>
      </c>
      <c r="D170" s="50" t="s">
        <v>5</v>
      </c>
      <c r="E170" s="50" t="s">
        <v>4</v>
      </c>
      <c r="F170" s="52" t="s">
        <v>1917</v>
      </c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8"/>
      <c r="U170" s="53"/>
      <c r="V170" s="54">
        <v>1.4</v>
      </c>
      <c r="W170" s="55" t="s">
        <v>1018</v>
      </c>
      <c r="X170" s="54"/>
      <c r="Y170" s="60"/>
      <c r="Z170" s="100"/>
      <c r="AA170" s="56"/>
      <c r="AB170" s="56"/>
      <c r="AC170" s="54"/>
    </row>
    <row r="171" spans="1:29" s="7" customFormat="1" outlineLevel="4" x14ac:dyDescent="0.25">
      <c r="A171" s="50" t="s">
        <v>5</v>
      </c>
      <c r="B171" s="50" t="s">
        <v>5</v>
      </c>
      <c r="C171" s="50" t="s">
        <v>5</v>
      </c>
      <c r="D171" s="50" t="s">
        <v>5</v>
      </c>
      <c r="E171" s="50" t="s">
        <v>49</v>
      </c>
      <c r="F171" s="52" t="s">
        <v>1065</v>
      </c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8"/>
      <c r="U171" s="53"/>
      <c r="V171" s="54">
        <v>1.3</v>
      </c>
      <c r="W171" s="55" t="s">
        <v>1018</v>
      </c>
      <c r="X171" s="54"/>
      <c r="Y171" s="60"/>
      <c r="Z171" s="100"/>
      <c r="AA171" s="56"/>
      <c r="AB171" s="56"/>
      <c r="AC171" s="54"/>
    </row>
    <row r="172" spans="1:29" s="7" customFormat="1" outlineLevel="3" x14ac:dyDescent="0.25">
      <c r="A172" s="50" t="s">
        <v>5</v>
      </c>
      <c r="B172" s="50" t="s">
        <v>5</v>
      </c>
      <c r="C172" s="50" t="s">
        <v>5</v>
      </c>
      <c r="D172" s="50" t="s">
        <v>4</v>
      </c>
      <c r="E172" s="51" t="s">
        <v>1828</v>
      </c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8"/>
      <c r="U172" s="53" t="s">
        <v>2236</v>
      </c>
      <c r="V172" s="54">
        <v>1</v>
      </c>
      <c r="W172" s="55" t="s">
        <v>1019</v>
      </c>
      <c r="X172" s="54"/>
      <c r="Y172" s="54"/>
      <c r="Z172" s="100"/>
      <c r="AA172" s="56"/>
      <c r="AB172" s="56"/>
      <c r="AC172" s="54"/>
    </row>
    <row r="173" spans="1:29" s="7" customFormat="1" outlineLevel="4" x14ac:dyDescent="0.25">
      <c r="A173" s="50" t="s">
        <v>5</v>
      </c>
      <c r="B173" s="50" t="s">
        <v>5</v>
      </c>
      <c r="C173" s="50" t="s">
        <v>5</v>
      </c>
      <c r="D173" s="50" t="s">
        <v>5</v>
      </c>
      <c r="E173" s="50" t="s">
        <v>4</v>
      </c>
      <c r="F173" s="52" t="s">
        <v>1895</v>
      </c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8"/>
      <c r="U173" s="53" t="s">
        <v>1896</v>
      </c>
      <c r="V173" s="54">
        <v>2</v>
      </c>
      <c r="W173" s="55" t="s">
        <v>1019</v>
      </c>
      <c r="X173" s="54"/>
      <c r="Y173" s="60"/>
      <c r="Z173" s="100"/>
      <c r="AA173" s="56"/>
      <c r="AB173" s="56"/>
      <c r="AC173" s="54"/>
    </row>
    <row r="174" spans="1:29" s="7" customFormat="1" outlineLevel="4" x14ac:dyDescent="0.25">
      <c r="A174" s="50" t="s">
        <v>5</v>
      </c>
      <c r="B174" s="50" t="s">
        <v>5</v>
      </c>
      <c r="C174" s="50" t="s">
        <v>5</v>
      </c>
      <c r="D174" s="50" t="s">
        <v>5</v>
      </c>
      <c r="E174" s="50" t="s">
        <v>4</v>
      </c>
      <c r="F174" s="52" t="s">
        <v>226</v>
      </c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8"/>
      <c r="U174" s="53" t="s">
        <v>227</v>
      </c>
      <c r="V174" s="54">
        <v>2</v>
      </c>
      <c r="W174" s="55" t="s">
        <v>1019</v>
      </c>
      <c r="X174" s="54"/>
      <c r="Y174" s="60"/>
      <c r="Z174" s="100"/>
      <c r="AA174" s="56"/>
      <c r="AB174" s="56"/>
      <c r="AC174" s="54"/>
    </row>
    <row r="175" spans="1:29" s="7" customFormat="1" outlineLevel="4" x14ac:dyDescent="0.25">
      <c r="A175" s="50" t="s">
        <v>5</v>
      </c>
      <c r="B175" s="50" t="s">
        <v>5</v>
      </c>
      <c r="C175" s="50" t="s">
        <v>5</v>
      </c>
      <c r="D175" s="50" t="s">
        <v>5</v>
      </c>
      <c r="E175" s="50" t="s">
        <v>4</v>
      </c>
      <c r="F175" s="52" t="s">
        <v>1920</v>
      </c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8"/>
      <c r="U175" s="53"/>
      <c r="V175" s="54">
        <v>0.95</v>
      </c>
      <c r="W175" s="55" t="s">
        <v>1018</v>
      </c>
      <c r="X175" s="54"/>
      <c r="Y175" s="60"/>
      <c r="Z175" s="100"/>
      <c r="AA175" s="56"/>
      <c r="AB175" s="56"/>
      <c r="AC175" s="54"/>
    </row>
    <row r="176" spans="1:29" s="7" customFormat="1" outlineLevel="4" x14ac:dyDescent="0.25">
      <c r="A176" s="50" t="s">
        <v>5</v>
      </c>
      <c r="B176" s="50" t="s">
        <v>5</v>
      </c>
      <c r="C176" s="50" t="s">
        <v>5</v>
      </c>
      <c r="D176" s="50" t="s">
        <v>5</v>
      </c>
      <c r="E176" s="50" t="s">
        <v>4</v>
      </c>
      <c r="F176" s="52" t="s">
        <v>1902</v>
      </c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8"/>
      <c r="U176" s="53"/>
      <c r="V176" s="54">
        <v>0.95</v>
      </c>
      <c r="W176" s="55" t="s">
        <v>1018</v>
      </c>
      <c r="X176" s="54"/>
      <c r="Y176" s="60"/>
      <c r="Z176" s="100"/>
      <c r="AA176" s="56"/>
      <c r="AB176" s="56"/>
      <c r="AC176" s="54"/>
    </row>
    <row r="177" spans="1:29" s="7" customFormat="1" outlineLevel="4" x14ac:dyDescent="0.25">
      <c r="A177" s="50" t="s">
        <v>5</v>
      </c>
      <c r="B177" s="50" t="s">
        <v>5</v>
      </c>
      <c r="C177" s="50" t="s">
        <v>5</v>
      </c>
      <c r="D177" s="50" t="s">
        <v>5</v>
      </c>
      <c r="E177" s="50" t="s">
        <v>49</v>
      </c>
      <c r="F177" s="52" t="s">
        <v>1074</v>
      </c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8"/>
      <c r="U177" s="53"/>
      <c r="V177" s="54">
        <v>0.85</v>
      </c>
      <c r="W177" s="55" t="s">
        <v>1018</v>
      </c>
      <c r="X177" s="54"/>
      <c r="Y177" s="60"/>
      <c r="Z177" s="100"/>
      <c r="AA177" s="56"/>
      <c r="AB177" s="56"/>
      <c r="AC177" s="54"/>
    </row>
    <row r="178" spans="1:29" s="7" customFormat="1" outlineLevel="3" x14ac:dyDescent="0.25">
      <c r="A178" s="50" t="s">
        <v>5</v>
      </c>
      <c r="B178" s="50" t="s">
        <v>5</v>
      </c>
      <c r="C178" s="50" t="s">
        <v>5</v>
      </c>
      <c r="D178" s="50" t="s">
        <v>4</v>
      </c>
      <c r="E178" s="51" t="s">
        <v>2498</v>
      </c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8"/>
      <c r="U178" s="53" t="s">
        <v>2237</v>
      </c>
      <c r="V178" s="54">
        <v>1</v>
      </c>
      <c r="W178" s="55" t="s">
        <v>1019</v>
      </c>
      <c r="X178" s="54"/>
      <c r="Y178" s="54"/>
      <c r="Z178" s="100"/>
      <c r="AA178" s="56"/>
      <c r="AB178" s="56"/>
      <c r="AC178" s="54"/>
    </row>
    <row r="179" spans="1:29" s="7" customFormat="1" outlineLevel="4" x14ac:dyDescent="0.25">
      <c r="A179" s="50" t="s">
        <v>5</v>
      </c>
      <c r="B179" s="50" t="s">
        <v>5</v>
      </c>
      <c r="C179" s="50" t="s">
        <v>5</v>
      </c>
      <c r="D179" s="50" t="s">
        <v>5</v>
      </c>
      <c r="E179" s="50" t="s">
        <v>4</v>
      </c>
      <c r="F179" s="52" t="s">
        <v>931</v>
      </c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8"/>
      <c r="U179" s="53">
        <v>50375053</v>
      </c>
      <c r="V179" s="54">
        <v>1</v>
      </c>
      <c r="W179" s="55" t="s">
        <v>1019</v>
      </c>
      <c r="X179" s="54" t="s">
        <v>930</v>
      </c>
      <c r="Y179" s="59" t="s">
        <v>937</v>
      </c>
      <c r="Z179" s="100"/>
      <c r="AA179" s="56"/>
      <c r="AB179" s="56"/>
      <c r="AC179" s="54"/>
    </row>
    <row r="180" spans="1:29" s="7" customFormat="1" outlineLevel="4" x14ac:dyDescent="0.25">
      <c r="A180" s="50" t="s">
        <v>5</v>
      </c>
      <c r="B180" s="50" t="s">
        <v>5</v>
      </c>
      <c r="C180" s="50" t="s">
        <v>5</v>
      </c>
      <c r="D180" s="50" t="s">
        <v>5</v>
      </c>
      <c r="E180" s="50" t="s">
        <v>4</v>
      </c>
      <c r="F180" s="52" t="s">
        <v>1076</v>
      </c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8"/>
      <c r="U180" s="62" t="s">
        <v>1078</v>
      </c>
      <c r="V180" s="54">
        <v>5</v>
      </c>
      <c r="W180" s="55" t="s">
        <v>1019</v>
      </c>
      <c r="X180" s="54" t="s">
        <v>930</v>
      </c>
      <c r="Y180" s="61" t="s">
        <v>1077</v>
      </c>
      <c r="Z180" s="100"/>
      <c r="AA180" s="56"/>
      <c r="AB180" s="56"/>
      <c r="AC180" s="54"/>
    </row>
    <row r="181" spans="1:29" s="7" customFormat="1" outlineLevel="4" x14ac:dyDescent="0.25">
      <c r="A181" s="50" t="s">
        <v>5</v>
      </c>
      <c r="B181" s="50" t="s">
        <v>5</v>
      </c>
      <c r="C181" s="50" t="s">
        <v>5</v>
      </c>
      <c r="D181" s="50" t="s">
        <v>5</v>
      </c>
      <c r="E181" s="50" t="s">
        <v>4</v>
      </c>
      <c r="F181" s="52" t="s">
        <v>230</v>
      </c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8"/>
      <c r="U181" s="53" t="s">
        <v>231</v>
      </c>
      <c r="V181" s="54">
        <v>4</v>
      </c>
      <c r="W181" s="55" t="s">
        <v>1019</v>
      </c>
      <c r="X181" s="54"/>
      <c r="Y181" s="60"/>
      <c r="Z181" s="100"/>
      <c r="AA181" s="56"/>
      <c r="AB181" s="56"/>
      <c r="AC181" s="54"/>
    </row>
    <row r="182" spans="1:29" s="7" customFormat="1" outlineLevel="4" x14ac:dyDescent="0.25">
      <c r="A182" s="50" t="s">
        <v>5</v>
      </c>
      <c r="B182" s="50" t="s">
        <v>5</v>
      </c>
      <c r="C182" s="50" t="s">
        <v>5</v>
      </c>
      <c r="D182" s="50" t="s">
        <v>5</v>
      </c>
      <c r="E182" s="50" t="s">
        <v>4</v>
      </c>
      <c r="F182" s="52" t="s">
        <v>1903</v>
      </c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8"/>
      <c r="U182" s="53"/>
      <c r="V182" s="54">
        <v>4.8</v>
      </c>
      <c r="W182" s="55" t="s">
        <v>1018</v>
      </c>
      <c r="X182" s="54"/>
      <c r="Y182" s="60"/>
      <c r="Z182" s="100"/>
      <c r="AA182" s="56"/>
      <c r="AB182" s="56"/>
      <c r="AC182" s="54"/>
    </row>
    <row r="183" spans="1:29" s="7" customFormat="1" outlineLevel="4" x14ac:dyDescent="0.25">
      <c r="A183" s="50" t="s">
        <v>5</v>
      </c>
      <c r="B183" s="50" t="s">
        <v>5</v>
      </c>
      <c r="C183" s="50" t="s">
        <v>5</v>
      </c>
      <c r="D183" s="50" t="s">
        <v>5</v>
      </c>
      <c r="E183" s="50" t="s">
        <v>4</v>
      </c>
      <c r="F183" s="52" t="s">
        <v>1917</v>
      </c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8"/>
      <c r="U183" s="53"/>
      <c r="V183" s="54">
        <v>1.6</v>
      </c>
      <c r="W183" s="55" t="s">
        <v>1018</v>
      </c>
      <c r="X183" s="54"/>
      <c r="Y183" s="60"/>
      <c r="Z183" s="100"/>
      <c r="AA183" s="56"/>
      <c r="AB183" s="56"/>
      <c r="AC183" s="54"/>
    </row>
    <row r="184" spans="1:29" s="7" customFormat="1" outlineLevel="4" x14ac:dyDescent="0.25">
      <c r="A184" s="50" t="s">
        <v>5</v>
      </c>
      <c r="B184" s="50" t="s">
        <v>5</v>
      </c>
      <c r="C184" s="50" t="s">
        <v>5</v>
      </c>
      <c r="D184" s="50" t="s">
        <v>5</v>
      </c>
      <c r="E184" s="50" t="s">
        <v>49</v>
      </c>
      <c r="F184" s="52" t="s">
        <v>1074</v>
      </c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8"/>
      <c r="U184" s="53"/>
      <c r="V184" s="54">
        <v>1.5</v>
      </c>
      <c r="W184" s="55" t="s">
        <v>1018</v>
      </c>
      <c r="X184" s="54"/>
      <c r="Y184" s="60"/>
      <c r="Z184" s="100"/>
      <c r="AA184" s="56"/>
      <c r="AB184" s="56"/>
      <c r="AC184" s="54"/>
    </row>
    <row r="185" spans="1:29" s="7" customFormat="1" outlineLevel="3" x14ac:dyDescent="0.25">
      <c r="A185" s="50" t="s">
        <v>5</v>
      </c>
      <c r="B185" s="50" t="s">
        <v>5</v>
      </c>
      <c r="C185" s="50" t="s">
        <v>5</v>
      </c>
      <c r="D185" s="50" t="s">
        <v>4</v>
      </c>
      <c r="E185" s="51" t="s">
        <v>1829</v>
      </c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8"/>
      <c r="U185" s="53" t="s">
        <v>2238</v>
      </c>
      <c r="V185" s="54">
        <v>1</v>
      </c>
      <c r="W185" s="55" t="s">
        <v>1019</v>
      </c>
      <c r="X185" s="54"/>
      <c r="Y185" s="54"/>
      <c r="Z185" s="100"/>
      <c r="AA185" s="56"/>
      <c r="AB185" s="56"/>
      <c r="AC185" s="54"/>
    </row>
    <row r="186" spans="1:29" s="7" customFormat="1" outlineLevel="4" x14ac:dyDescent="0.25">
      <c r="A186" s="50" t="s">
        <v>5</v>
      </c>
      <c r="B186" s="50" t="s">
        <v>5</v>
      </c>
      <c r="C186" s="50" t="s">
        <v>5</v>
      </c>
      <c r="D186" s="50" t="s">
        <v>5</v>
      </c>
      <c r="E186" s="50" t="s">
        <v>4</v>
      </c>
      <c r="F186" s="52" t="s">
        <v>1895</v>
      </c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8"/>
      <c r="U186" s="53" t="s">
        <v>1896</v>
      </c>
      <c r="V186" s="54">
        <v>4</v>
      </c>
      <c r="W186" s="55" t="s">
        <v>1019</v>
      </c>
      <c r="X186" s="54"/>
      <c r="Y186" s="60"/>
      <c r="Z186" s="100"/>
      <c r="AA186" s="56"/>
      <c r="AB186" s="56"/>
      <c r="AC186" s="54"/>
    </row>
    <row r="187" spans="1:29" s="7" customFormat="1" outlineLevel="4" x14ac:dyDescent="0.25">
      <c r="A187" s="50" t="s">
        <v>5</v>
      </c>
      <c r="B187" s="50" t="s">
        <v>5</v>
      </c>
      <c r="C187" s="50" t="s">
        <v>5</v>
      </c>
      <c r="D187" s="50" t="s">
        <v>5</v>
      </c>
      <c r="E187" s="50" t="s">
        <v>4</v>
      </c>
      <c r="F187" s="52" t="s">
        <v>1901</v>
      </c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8"/>
      <c r="U187" s="53"/>
      <c r="V187" s="54">
        <v>0.25</v>
      </c>
      <c r="W187" s="55" t="s">
        <v>1018</v>
      </c>
      <c r="X187" s="54"/>
      <c r="Y187" s="60"/>
      <c r="Z187" s="100"/>
      <c r="AA187" s="56"/>
      <c r="AB187" s="56"/>
      <c r="AC187" s="54"/>
    </row>
    <row r="188" spans="1:29" s="7" customFormat="1" outlineLevel="4" x14ac:dyDescent="0.25">
      <c r="A188" s="50" t="s">
        <v>5</v>
      </c>
      <c r="B188" s="50" t="s">
        <v>5</v>
      </c>
      <c r="C188" s="50" t="s">
        <v>5</v>
      </c>
      <c r="D188" s="50" t="s">
        <v>5</v>
      </c>
      <c r="E188" s="50" t="s">
        <v>4</v>
      </c>
      <c r="F188" s="52" t="s">
        <v>1902</v>
      </c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8"/>
      <c r="U188" s="53"/>
      <c r="V188" s="54">
        <v>0.25</v>
      </c>
      <c r="W188" s="55" t="s">
        <v>1018</v>
      </c>
      <c r="X188" s="54"/>
      <c r="Y188" s="60"/>
      <c r="Z188" s="100"/>
      <c r="AA188" s="56"/>
      <c r="AB188" s="56"/>
      <c r="AC188" s="54"/>
    </row>
    <row r="189" spans="1:29" s="7" customFormat="1" outlineLevel="4" x14ac:dyDescent="0.25">
      <c r="A189" s="50" t="s">
        <v>5</v>
      </c>
      <c r="B189" s="50" t="s">
        <v>5</v>
      </c>
      <c r="C189" s="50" t="s">
        <v>5</v>
      </c>
      <c r="D189" s="50" t="s">
        <v>5</v>
      </c>
      <c r="E189" s="50" t="s">
        <v>49</v>
      </c>
      <c r="F189" s="52" t="s">
        <v>1074</v>
      </c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8"/>
      <c r="U189" s="53"/>
      <c r="V189" s="54">
        <v>0.15</v>
      </c>
      <c r="W189" s="55" t="s">
        <v>1018</v>
      </c>
      <c r="X189" s="54"/>
      <c r="Y189" s="60"/>
      <c r="Z189" s="100"/>
      <c r="AA189" s="56"/>
      <c r="AB189" s="56"/>
      <c r="AC189" s="54"/>
    </row>
    <row r="190" spans="1:29" s="7" customFormat="1" outlineLevel="3" x14ac:dyDescent="0.25">
      <c r="A190" s="50" t="s">
        <v>5</v>
      </c>
      <c r="B190" s="50" t="s">
        <v>5</v>
      </c>
      <c r="C190" s="50" t="s">
        <v>5</v>
      </c>
      <c r="D190" s="50" t="s">
        <v>4</v>
      </c>
      <c r="E190" s="51" t="s">
        <v>1830</v>
      </c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8"/>
      <c r="U190" s="53" t="s">
        <v>2239</v>
      </c>
      <c r="V190" s="54">
        <v>1</v>
      </c>
      <c r="W190" s="55" t="s">
        <v>1019</v>
      </c>
      <c r="X190" s="54"/>
      <c r="Y190" s="54"/>
      <c r="Z190" s="100"/>
      <c r="AA190" s="56"/>
      <c r="AB190" s="56"/>
      <c r="AC190" s="54"/>
    </row>
    <row r="191" spans="1:29" s="7" customFormat="1" outlineLevel="4" x14ac:dyDescent="0.25">
      <c r="A191" s="50" t="s">
        <v>5</v>
      </c>
      <c r="B191" s="50" t="s">
        <v>5</v>
      </c>
      <c r="C191" s="50" t="s">
        <v>5</v>
      </c>
      <c r="D191" s="50" t="s">
        <v>5</v>
      </c>
      <c r="E191" s="50" t="s">
        <v>4</v>
      </c>
      <c r="F191" s="52" t="s">
        <v>1897</v>
      </c>
      <c r="G191" s="58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8"/>
      <c r="U191" s="53"/>
      <c r="V191" s="54">
        <v>8</v>
      </c>
      <c r="W191" s="55" t="s">
        <v>1019</v>
      </c>
      <c r="X191" s="54"/>
      <c r="Y191" s="54"/>
      <c r="Z191" s="100"/>
      <c r="AA191" s="56"/>
      <c r="AB191" s="56"/>
      <c r="AC191" s="54"/>
    </row>
    <row r="192" spans="1:29" s="7" customFormat="1" outlineLevel="4" x14ac:dyDescent="0.25">
      <c r="A192" s="50" t="s">
        <v>5</v>
      </c>
      <c r="B192" s="50" t="s">
        <v>5</v>
      </c>
      <c r="C192" s="50" t="s">
        <v>5</v>
      </c>
      <c r="D192" s="50" t="s">
        <v>5</v>
      </c>
      <c r="E192" s="50" t="s">
        <v>4</v>
      </c>
      <c r="F192" s="52" t="s">
        <v>1901</v>
      </c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8"/>
      <c r="U192" s="53"/>
      <c r="V192" s="54">
        <v>1.1000000000000001</v>
      </c>
      <c r="W192" s="55" t="s">
        <v>1018</v>
      </c>
      <c r="X192" s="54"/>
      <c r="Y192" s="60"/>
      <c r="Z192" s="100"/>
      <c r="AA192" s="56"/>
      <c r="AB192" s="56"/>
      <c r="AC192" s="54"/>
    </row>
    <row r="193" spans="1:29" s="7" customFormat="1" outlineLevel="4" x14ac:dyDescent="0.25">
      <c r="A193" s="50" t="s">
        <v>5</v>
      </c>
      <c r="B193" s="50" t="s">
        <v>5</v>
      </c>
      <c r="C193" s="50" t="s">
        <v>5</v>
      </c>
      <c r="D193" s="50" t="s">
        <v>5</v>
      </c>
      <c r="E193" s="50" t="s">
        <v>4</v>
      </c>
      <c r="F193" s="52" t="s">
        <v>1902</v>
      </c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8"/>
      <c r="U193" s="53"/>
      <c r="V193" s="54">
        <v>1.1000000000000001</v>
      </c>
      <c r="W193" s="55" t="s">
        <v>1018</v>
      </c>
      <c r="X193" s="54"/>
      <c r="Y193" s="60"/>
      <c r="Z193" s="100"/>
      <c r="AA193" s="56"/>
      <c r="AB193" s="56"/>
      <c r="AC193" s="54"/>
    </row>
    <row r="194" spans="1:29" s="7" customFormat="1" outlineLevel="4" x14ac:dyDescent="0.25">
      <c r="A194" s="50" t="s">
        <v>5</v>
      </c>
      <c r="B194" s="50" t="s">
        <v>5</v>
      </c>
      <c r="C194" s="50" t="s">
        <v>5</v>
      </c>
      <c r="D194" s="50" t="s">
        <v>5</v>
      </c>
      <c r="E194" s="50" t="s">
        <v>4</v>
      </c>
      <c r="F194" s="52" t="s">
        <v>1921</v>
      </c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8"/>
      <c r="U194" s="53"/>
      <c r="V194" s="54">
        <v>1.1000000000000001</v>
      </c>
      <c r="W194" s="55" t="s">
        <v>1018</v>
      </c>
      <c r="X194" s="54"/>
      <c r="Y194" s="60"/>
      <c r="Z194" s="100"/>
      <c r="AA194" s="56"/>
      <c r="AB194" s="56"/>
      <c r="AC194" s="54"/>
    </row>
    <row r="195" spans="1:29" s="7" customFormat="1" outlineLevel="4" x14ac:dyDescent="0.25">
      <c r="A195" s="50" t="s">
        <v>5</v>
      </c>
      <c r="B195" s="50" t="s">
        <v>5</v>
      </c>
      <c r="C195" s="50" t="s">
        <v>5</v>
      </c>
      <c r="D195" s="50" t="s">
        <v>5</v>
      </c>
      <c r="E195" s="50" t="s">
        <v>4</v>
      </c>
      <c r="F195" s="52" t="s">
        <v>1922</v>
      </c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8"/>
      <c r="U195" s="53"/>
      <c r="V195" s="54">
        <v>0.7</v>
      </c>
      <c r="W195" s="55" t="s">
        <v>1018</v>
      </c>
      <c r="X195" s="54"/>
      <c r="Y195" s="60"/>
      <c r="Z195" s="100"/>
      <c r="AA195" s="56"/>
      <c r="AB195" s="56"/>
      <c r="AC195" s="54"/>
    </row>
    <row r="196" spans="1:29" s="7" customFormat="1" outlineLevel="4" x14ac:dyDescent="0.25">
      <c r="A196" s="50" t="s">
        <v>5</v>
      </c>
      <c r="B196" s="50" t="s">
        <v>5</v>
      </c>
      <c r="C196" s="50" t="s">
        <v>5</v>
      </c>
      <c r="D196" s="50" t="s">
        <v>5</v>
      </c>
      <c r="E196" s="50" t="s">
        <v>4</v>
      </c>
      <c r="F196" s="52" t="s">
        <v>1074</v>
      </c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8"/>
      <c r="U196" s="53"/>
      <c r="V196" s="54">
        <v>0.45</v>
      </c>
      <c r="W196" s="55" t="s">
        <v>1018</v>
      </c>
      <c r="X196" s="54"/>
      <c r="Y196" s="60"/>
      <c r="Z196" s="100"/>
      <c r="AA196" s="56"/>
      <c r="AB196" s="56"/>
      <c r="AC196" s="54"/>
    </row>
    <row r="197" spans="1:29" s="7" customFormat="1" outlineLevel="4" x14ac:dyDescent="0.25">
      <c r="A197" s="50" t="s">
        <v>5</v>
      </c>
      <c r="B197" s="50" t="s">
        <v>5</v>
      </c>
      <c r="C197" s="50" t="s">
        <v>5</v>
      </c>
      <c r="D197" s="50" t="s">
        <v>5</v>
      </c>
      <c r="E197" s="50" t="s">
        <v>49</v>
      </c>
      <c r="F197" s="52" t="s">
        <v>1898</v>
      </c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8"/>
      <c r="U197" s="53"/>
      <c r="V197" s="54">
        <v>0.4</v>
      </c>
      <c r="W197" s="55" t="s">
        <v>1018</v>
      </c>
      <c r="X197" s="54"/>
      <c r="Y197" s="60"/>
      <c r="Z197" s="100"/>
      <c r="AA197" s="56"/>
      <c r="AB197" s="56"/>
      <c r="AC197" s="54"/>
    </row>
    <row r="198" spans="1:29" s="7" customFormat="1" outlineLevel="3" x14ac:dyDescent="0.25">
      <c r="A198" s="50" t="s">
        <v>5</v>
      </c>
      <c r="B198" s="50" t="s">
        <v>5</v>
      </c>
      <c r="C198" s="50" t="s">
        <v>5</v>
      </c>
      <c r="D198" s="50" t="s">
        <v>4</v>
      </c>
      <c r="E198" s="52" t="s">
        <v>289</v>
      </c>
      <c r="F198" s="52"/>
      <c r="G198" s="58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8"/>
      <c r="U198" s="53" t="s">
        <v>2486</v>
      </c>
      <c r="V198" s="54">
        <v>1</v>
      </c>
      <c r="W198" s="55" t="s">
        <v>1019</v>
      </c>
      <c r="X198" s="54"/>
      <c r="Y198" s="60"/>
      <c r="Z198" s="100"/>
      <c r="AA198" s="56"/>
      <c r="AB198" s="56"/>
      <c r="AC198" s="54"/>
    </row>
    <row r="199" spans="1:29" s="7" customFormat="1" outlineLevel="3" x14ac:dyDescent="0.25">
      <c r="A199" s="50" t="s">
        <v>5</v>
      </c>
      <c r="B199" s="50" t="s">
        <v>5</v>
      </c>
      <c r="C199" s="50" t="s">
        <v>5</v>
      </c>
      <c r="D199" s="50" t="s">
        <v>4</v>
      </c>
      <c r="E199" s="52" t="s">
        <v>212</v>
      </c>
      <c r="F199" s="52"/>
      <c r="G199" s="58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8"/>
      <c r="U199" s="53" t="s">
        <v>2499</v>
      </c>
      <c r="V199" s="54">
        <v>1</v>
      </c>
      <c r="W199" s="55" t="s">
        <v>1019</v>
      </c>
      <c r="X199" s="54"/>
      <c r="Y199" s="60"/>
      <c r="Z199" s="100"/>
      <c r="AA199" s="56"/>
      <c r="AB199" s="56"/>
      <c r="AC199" s="54"/>
    </row>
    <row r="200" spans="1:29" s="7" customFormat="1" outlineLevel="3" x14ac:dyDescent="0.25">
      <c r="A200" s="50" t="s">
        <v>5</v>
      </c>
      <c r="B200" s="50" t="s">
        <v>5</v>
      </c>
      <c r="C200" s="50" t="s">
        <v>5</v>
      </c>
      <c r="D200" s="50" t="s">
        <v>4</v>
      </c>
      <c r="E200" s="52" t="s">
        <v>211</v>
      </c>
      <c r="F200" s="52"/>
      <c r="G200" s="58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8"/>
      <c r="U200" s="53" t="s">
        <v>2500</v>
      </c>
      <c r="V200" s="54">
        <v>1</v>
      </c>
      <c r="W200" s="55" t="s">
        <v>1019</v>
      </c>
      <c r="X200" s="54"/>
      <c r="Y200" s="60"/>
      <c r="Z200" s="100"/>
      <c r="AA200" s="56"/>
      <c r="AB200" s="56"/>
      <c r="AC200" s="54"/>
    </row>
    <row r="201" spans="1:29" s="7" customFormat="1" outlineLevel="3" x14ac:dyDescent="0.25">
      <c r="A201" s="50" t="s">
        <v>5</v>
      </c>
      <c r="B201" s="50" t="s">
        <v>5</v>
      </c>
      <c r="C201" s="50" t="s">
        <v>5</v>
      </c>
      <c r="D201" s="50" t="s">
        <v>4</v>
      </c>
      <c r="E201" s="52" t="s">
        <v>1832</v>
      </c>
      <c r="F201" s="58"/>
      <c r="G201" s="58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8"/>
      <c r="U201" s="53"/>
      <c r="V201" s="54">
        <v>2</v>
      </c>
      <c r="W201" s="55" t="s">
        <v>1019</v>
      </c>
      <c r="X201" s="54"/>
      <c r="Y201" s="54"/>
      <c r="Z201" s="100"/>
      <c r="AA201" s="56"/>
      <c r="AB201" s="56"/>
      <c r="AC201" s="54"/>
    </row>
    <row r="202" spans="1:29" s="7" customFormat="1" outlineLevel="3" x14ac:dyDescent="0.25">
      <c r="A202" s="50" t="s">
        <v>5</v>
      </c>
      <c r="B202" s="50" t="s">
        <v>5</v>
      </c>
      <c r="C202" s="50" t="s">
        <v>5</v>
      </c>
      <c r="D202" s="50" t="s">
        <v>4</v>
      </c>
      <c r="E202" s="52" t="s">
        <v>1831</v>
      </c>
      <c r="F202" s="58"/>
      <c r="G202" s="58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8"/>
      <c r="U202" s="53"/>
      <c r="V202" s="54">
        <v>2</v>
      </c>
      <c r="W202" s="55" t="s">
        <v>1019</v>
      </c>
      <c r="X202" s="54"/>
      <c r="Y202" s="54"/>
      <c r="Z202" s="100"/>
      <c r="AA202" s="56"/>
      <c r="AB202" s="56"/>
      <c r="AC202" s="54"/>
    </row>
    <row r="203" spans="1:29" s="7" customFormat="1" outlineLevel="3" x14ac:dyDescent="0.25">
      <c r="A203" s="50" t="s">
        <v>5</v>
      </c>
      <c r="B203" s="50" t="s">
        <v>5</v>
      </c>
      <c r="C203" s="50" t="s">
        <v>5</v>
      </c>
      <c r="D203" s="50" t="s">
        <v>4</v>
      </c>
      <c r="E203" s="52" t="s">
        <v>1833</v>
      </c>
      <c r="F203" s="58"/>
      <c r="G203" s="58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8"/>
      <c r="U203" s="53"/>
      <c r="V203" s="54">
        <v>4</v>
      </c>
      <c r="W203" s="55" t="s">
        <v>1019</v>
      </c>
      <c r="X203" s="54"/>
      <c r="Y203" s="54"/>
      <c r="Z203" s="100"/>
      <c r="AA203" s="56"/>
      <c r="AB203" s="56"/>
      <c r="AC203" s="54"/>
    </row>
    <row r="204" spans="1:29" s="7" customFormat="1" outlineLevel="3" x14ac:dyDescent="0.25">
      <c r="A204" s="50" t="s">
        <v>5</v>
      </c>
      <c r="B204" s="50" t="s">
        <v>5</v>
      </c>
      <c r="C204" s="50" t="s">
        <v>5</v>
      </c>
      <c r="D204" s="50" t="s">
        <v>4</v>
      </c>
      <c r="E204" s="52" t="s">
        <v>1834</v>
      </c>
      <c r="F204" s="58"/>
      <c r="G204" s="58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8"/>
      <c r="U204" s="53"/>
      <c r="V204" s="54">
        <v>9</v>
      </c>
      <c r="W204" s="55" t="s">
        <v>1019</v>
      </c>
      <c r="X204" s="54"/>
      <c r="Y204" s="54"/>
      <c r="Z204" s="100"/>
      <c r="AA204" s="56"/>
      <c r="AB204" s="56"/>
      <c r="AC204" s="54"/>
    </row>
    <row r="205" spans="1:29" s="7" customFormat="1" outlineLevel="3" x14ac:dyDescent="0.25">
      <c r="A205" s="50" t="s">
        <v>5</v>
      </c>
      <c r="B205" s="50" t="s">
        <v>5</v>
      </c>
      <c r="C205" s="50" t="s">
        <v>5</v>
      </c>
      <c r="D205" s="50" t="s">
        <v>4</v>
      </c>
      <c r="E205" s="52" t="s">
        <v>1835</v>
      </c>
      <c r="F205" s="58"/>
      <c r="G205" s="58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8"/>
      <c r="U205" s="53"/>
      <c r="V205" s="54">
        <v>8</v>
      </c>
      <c r="W205" s="55" t="s">
        <v>1019</v>
      </c>
      <c r="X205" s="54"/>
      <c r="Y205" s="54"/>
      <c r="Z205" s="100"/>
      <c r="AA205" s="56"/>
      <c r="AB205" s="56"/>
      <c r="AC205" s="54"/>
    </row>
    <row r="206" spans="1:29" s="7" customFormat="1" outlineLevel="3" x14ac:dyDescent="0.25">
      <c r="A206" s="50" t="s">
        <v>5</v>
      </c>
      <c r="B206" s="50" t="s">
        <v>5</v>
      </c>
      <c r="C206" s="50" t="s">
        <v>5</v>
      </c>
      <c r="D206" s="50" t="s">
        <v>4</v>
      </c>
      <c r="E206" s="52" t="s">
        <v>1836</v>
      </c>
      <c r="F206" s="58"/>
      <c r="G206" s="58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8"/>
      <c r="U206" s="53"/>
      <c r="V206" s="54">
        <v>2</v>
      </c>
      <c r="W206" s="55" t="s">
        <v>1019</v>
      </c>
      <c r="X206" s="54"/>
      <c r="Y206" s="54"/>
      <c r="Z206" s="100"/>
      <c r="AA206" s="56"/>
      <c r="AB206" s="56"/>
      <c r="AC206" s="54"/>
    </row>
    <row r="207" spans="1:29" s="7" customFormat="1" outlineLevel="3" x14ac:dyDescent="0.25">
      <c r="A207" s="50" t="s">
        <v>5</v>
      </c>
      <c r="B207" s="50" t="s">
        <v>5</v>
      </c>
      <c r="C207" s="50" t="s">
        <v>5</v>
      </c>
      <c r="D207" s="50" t="s">
        <v>4</v>
      </c>
      <c r="E207" s="52" t="s">
        <v>1837</v>
      </c>
      <c r="F207" s="58"/>
      <c r="G207" s="58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8"/>
      <c r="U207" s="53"/>
      <c r="V207" s="54">
        <v>2</v>
      </c>
      <c r="W207" s="55" t="s">
        <v>1019</v>
      </c>
      <c r="X207" s="54"/>
      <c r="Y207" s="54"/>
      <c r="Z207" s="100"/>
      <c r="AA207" s="56"/>
      <c r="AB207" s="56"/>
      <c r="AC207" s="54"/>
    </row>
    <row r="208" spans="1:29" s="7" customFormat="1" outlineLevel="3" x14ac:dyDescent="0.25">
      <c r="A208" s="50" t="s">
        <v>5</v>
      </c>
      <c r="B208" s="50" t="s">
        <v>5</v>
      </c>
      <c r="C208" s="50" t="s">
        <v>5</v>
      </c>
      <c r="D208" s="50" t="s">
        <v>4</v>
      </c>
      <c r="E208" s="52" t="s">
        <v>1838</v>
      </c>
      <c r="F208" s="58"/>
      <c r="G208" s="58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8"/>
      <c r="U208" s="53"/>
      <c r="V208" s="54">
        <v>2</v>
      </c>
      <c r="W208" s="55" t="s">
        <v>1019</v>
      </c>
      <c r="X208" s="54"/>
      <c r="Y208" s="54"/>
      <c r="Z208" s="100"/>
      <c r="AA208" s="56"/>
      <c r="AB208" s="56"/>
      <c r="AC208" s="54"/>
    </row>
    <row r="209" spans="1:29" s="7" customFormat="1" outlineLevel="3" x14ac:dyDescent="0.25">
      <c r="A209" s="50" t="s">
        <v>5</v>
      </c>
      <c r="B209" s="50" t="s">
        <v>5</v>
      </c>
      <c r="C209" s="50" t="s">
        <v>5</v>
      </c>
      <c r="D209" s="50" t="s">
        <v>4</v>
      </c>
      <c r="E209" s="52" t="s">
        <v>1839</v>
      </c>
      <c r="F209" s="58"/>
      <c r="G209" s="58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8"/>
      <c r="U209" s="53"/>
      <c r="V209" s="54">
        <v>4</v>
      </c>
      <c r="W209" s="55" t="s">
        <v>1019</v>
      </c>
      <c r="X209" s="54"/>
      <c r="Y209" s="54"/>
      <c r="Z209" s="100"/>
      <c r="AA209" s="56"/>
      <c r="AB209" s="56"/>
      <c r="AC209" s="54"/>
    </row>
    <row r="210" spans="1:29" s="7" customFormat="1" outlineLevel="3" x14ac:dyDescent="0.25">
      <c r="A210" s="50" t="s">
        <v>5</v>
      </c>
      <c r="B210" s="50" t="s">
        <v>5</v>
      </c>
      <c r="C210" s="50" t="s">
        <v>5</v>
      </c>
      <c r="D210" s="50" t="s">
        <v>4</v>
      </c>
      <c r="E210" s="52" t="s">
        <v>1089</v>
      </c>
      <c r="F210" s="58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8"/>
      <c r="U210" s="53"/>
      <c r="V210" s="54">
        <v>2</v>
      </c>
      <c r="W210" s="55" t="s">
        <v>1019</v>
      </c>
      <c r="X210" s="54"/>
      <c r="Y210" s="54"/>
      <c r="Z210" s="100"/>
      <c r="AA210" s="56"/>
      <c r="AB210" s="56"/>
      <c r="AC210" s="54"/>
    </row>
    <row r="211" spans="1:29" s="7" customFormat="1" outlineLevel="3" x14ac:dyDescent="0.25">
      <c r="A211" s="50" t="s">
        <v>5</v>
      </c>
      <c r="B211" s="50" t="s">
        <v>5</v>
      </c>
      <c r="C211" s="50" t="s">
        <v>5</v>
      </c>
      <c r="D211" s="50" t="s">
        <v>4</v>
      </c>
      <c r="E211" s="52" t="s">
        <v>1099</v>
      </c>
      <c r="F211" s="58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8"/>
      <c r="U211" s="53"/>
      <c r="V211" s="54">
        <v>6</v>
      </c>
      <c r="W211" s="55" t="s">
        <v>1019</v>
      </c>
      <c r="X211" s="54"/>
      <c r="Y211" s="54"/>
      <c r="Z211" s="100"/>
      <c r="AA211" s="56"/>
      <c r="AB211" s="56"/>
      <c r="AC211" s="54"/>
    </row>
    <row r="212" spans="1:29" s="7" customFormat="1" outlineLevel="3" x14ac:dyDescent="0.25">
      <c r="A212" s="50" t="s">
        <v>5</v>
      </c>
      <c r="B212" s="50" t="s">
        <v>5</v>
      </c>
      <c r="C212" s="50" t="s">
        <v>5</v>
      </c>
      <c r="D212" s="50" t="s">
        <v>4</v>
      </c>
      <c r="E212" s="52" t="s">
        <v>1090</v>
      </c>
      <c r="F212" s="58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8"/>
      <c r="U212" s="53"/>
      <c r="V212" s="54">
        <v>2</v>
      </c>
      <c r="W212" s="55" t="s">
        <v>1019</v>
      </c>
      <c r="X212" s="54"/>
      <c r="Y212" s="54"/>
      <c r="Z212" s="100"/>
      <c r="AA212" s="56"/>
      <c r="AB212" s="56"/>
      <c r="AC212" s="54"/>
    </row>
    <row r="213" spans="1:29" s="7" customFormat="1" outlineLevel="3" x14ac:dyDescent="0.25">
      <c r="A213" s="50" t="s">
        <v>5</v>
      </c>
      <c r="B213" s="50" t="s">
        <v>5</v>
      </c>
      <c r="C213" s="50" t="s">
        <v>5</v>
      </c>
      <c r="D213" s="50" t="s">
        <v>4</v>
      </c>
      <c r="E213" s="52" t="s">
        <v>1104</v>
      </c>
      <c r="F213" s="58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8"/>
      <c r="U213" s="53"/>
      <c r="V213" s="54">
        <v>6</v>
      </c>
      <c r="W213" s="55" t="s">
        <v>1019</v>
      </c>
      <c r="X213" s="54"/>
      <c r="Y213" s="54"/>
      <c r="Z213" s="100"/>
      <c r="AA213" s="56"/>
      <c r="AB213" s="56"/>
      <c r="AC213" s="54"/>
    </row>
    <row r="214" spans="1:29" s="7" customFormat="1" outlineLevel="3" x14ac:dyDescent="0.25">
      <c r="A214" s="50" t="s">
        <v>5</v>
      </c>
      <c r="B214" s="50" t="s">
        <v>5</v>
      </c>
      <c r="C214" s="50" t="s">
        <v>5</v>
      </c>
      <c r="D214" s="50" t="s">
        <v>4</v>
      </c>
      <c r="E214" s="52" t="s">
        <v>1840</v>
      </c>
      <c r="F214" s="58"/>
      <c r="G214" s="58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8"/>
      <c r="U214" s="53"/>
      <c r="V214" s="54">
        <v>1</v>
      </c>
      <c r="W214" s="55" t="s">
        <v>1019</v>
      </c>
      <c r="X214" s="54"/>
      <c r="Y214" s="60"/>
      <c r="Z214" s="100"/>
      <c r="AA214" s="56"/>
      <c r="AB214" s="56"/>
      <c r="AC214" s="54"/>
    </row>
    <row r="215" spans="1:29" s="7" customFormat="1" outlineLevel="3" x14ac:dyDescent="0.25">
      <c r="A215" s="50" t="s">
        <v>5</v>
      </c>
      <c r="B215" s="50" t="s">
        <v>5</v>
      </c>
      <c r="C215" s="50" t="s">
        <v>5</v>
      </c>
      <c r="D215" s="50" t="s">
        <v>4</v>
      </c>
      <c r="E215" s="52" t="s">
        <v>1841</v>
      </c>
      <c r="F215" s="58"/>
      <c r="G215" s="58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8"/>
      <c r="U215" s="53"/>
      <c r="V215" s="54">
        <v>2</v>
      </c>
      <c r="W215" s="55" t="s">
        <v>1019</v>
      </c>
      <c r="X215" s="54"/>
      <c r="Y215" s="60"/>
      <c r="Z215" s="100"/>
      <c r="AA215" s="56"/>
      <c r="AB215" s="56"/>
      <c r="AC215" s="54"/>
    </row>
    <row r="216" spans="1:29" s="7" customFormat="1" outlineLevel="3" x14ac:dyDescent="0.25">
      <c r="A216" s="50" t="s">
        <v>5</v>
      </c>
      <c r="B216" s="50" t="s">
        <v>5</v>
      </c>
      <c r="C216" s="50" t="s">
        <v>5</v>
      </c>
      <c r="D216" s="50" t="s">
        <v>4</v>
      </c>
      <c r="E216" s="52" t="s">
        <v>1842</v>
      </c>
      <c r="F216" s="58"/>
      <c r="G216" s="58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8"/>
      <c r="U216" s="53">
        <v>62452</v>
      </c>
      <c r="V216" s="54">
        <v>2</v>
      </c>
      <c r="W216" s="55" t="s">
        <v>1019</v>
      </c>
      <c r="X216" s="54"/>
      <c r="Y216" s="60"/>
      <c r="Z216" s="100"/>
      <c r="AA216" s="56"/>
      <c r="AB216" s="56"/>
      <c r="AC216" s="54"/>
    </row>
    <row r="217" spans="1:29" s="7" customFormat="1" outlineLevel="3" x14ac:dyDescent="0.25">
      <c r="A217" s="50" t="s">
        <v>5</v>
      </c>
      <c r="B217" s="50" t="s">
        <v>5</v>
      </c>
      <c r="C217" s="50" t="s">
        <v>5</v>
      </c>
      <c r="D217" s="50" t="s">
        <v>4</v>
      </c>
      <c r="E217" s="52" t="s">
        <v>1843</v>
      </c>
      <c r="F217" s="58"/>
      <c r="G217" s="58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8"/>
      <c r="U217" s="53"/>
      <c r="V217" s="54">
        <v>2</v>
      </c>
      <c r="W217" s="55" t="s">
        <v>1019</v>
      </c>
      <c r="X217" s="54"/>
      <c r="Y217" s="60"/>
      <c r="Z217" s="100"/>
      <c r="AA217" s="56"/>
      <c r="AB217" s="56"/>
      <c r="AC217" s="54"/>
    </row>
    <row r="218" spans="1:29" s="7" customFormat="1" outlineLevel="3" x14ac:dyDescent="0.25">
      <c r="A218" s="50" t="s">
        <v>5</v>
      </c>
      <c r="B218" s="50" t="s">
        <v>5</v>
      </c>
      <c r="C218" s="50" t="s">
        <v>5</v>
      </c>
      <c r="D218" s="50" t="s">
        <v>4</v>
      </c>
      <c r="E218" s="52" t="s">
        <v>1844</v>
      </c>
      <c r="F218" s="58"/>
      <c r="G218" s="58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8"/>
      <c r="U218" s="53"/>
      <c r="V218" s="54">
        <v>2</v>
      </c>
      <c r="W218" s="55" t="s">
        <v>1019</v>
      </c>
      <c r="X218" s="54"/>
      <c r="Y218" s="60"/>
      <c r="Z218" s="100"/>
      <c r="AA218" s="56"/>
      <c r="AB218" s="56"/>
      <c r="AC218" s="54"/>
    </row>
    <row r="219" spans="1:29" s="7" customFormat="1" outlineLevel="3" x14ac:dyDescent="0.25">
      <c r="A219" s="50" t="s">
        <v>5</v>
      </c>
      <c r="B219" s="50" t="s">
        <v>5</v>
      </c>
      <c r="C219" s="50" t="s">
        <v>5</v>
      </c>
      <c r="D219" s="50" t="s">
        <v>4</v>
      </c>
      <c r="E219" s="52" t="s">
        <v>1845</v>
      </c>
      <c r="F219" s="58"/>
      <c r="G219" s="58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8"/>
      <c r="U219" s="53"/>
      <c r="V219" s="54">
        <v>2</v>
      </c>
      <c r="W219" s="55" t="s">
        <v>1019</v>
      </c>
      <c r="X219" s="54"/>
      <c r="Y219" s="60"/>
      <c r="Z219" s="100"/>
      <c r="AA219" s="56"/>
      <c r="AB219" s="56"/>
      <c r="AC219" s="54"/>
    </row>
    <row r="220" spans="1:29" s="7" customFormat="1" outlineLevel="3" x14ac:dyDescent="0.25">
      <c r="A220" s="1" t="s">
        <v>5</v>
      </c>
      <c r="B220" s="1" t="s">
        <v>5</v>
      </c>
      <c r="C220" s="1" t="s">
        <v>5</v>
      </c>
      <c r="D220" s="1" t="s">
        <v>4</v>
      </c>
      <c r="E220" s="13" t="s">
        <v>72</v>
      </c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7" t="s">
        <v>73</v>
      </c>
      <c r="V220" s="18">
        <v>1</v>
      </c>
      <c r="W220" s="47" t="s">
        <v>1019</v>
      </c>
      <c r="X220" s="18" t="s">
        <v>74</v>
      </c>
      <c r="Y220" s="18"/>
      <c r="Z220" s="98"/>
      <c r="AA220" s="19">
        <v>25800</v>
      </c>
      <c r="AB220" s="19"/>
      <c r="AC220" s="18" t="s">
        <v>125</v>
      </c>
    </row>
    <row r="221" spans="1:29" s="7" customFormat="1" outlineLevel="3" x14ac:dyDescent="0.25">
      <c r="A221" s="50" t="s">
        <v>5</v>
      </c>
      <c r="B221" s="50" t="s">
        <v>5</v>
      </c>
      <c r="C221" s="50" t="s">
        <v>5</v>
      </c>
      <c r="D221" s="50" t="s">
        <v>4</v>
      </c>
      <c r="E221" s="52" t="s">
        <v>1846</v>
      </c>
      <c r="F221" s="58"/>
      <c r="G221" s="58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8"/>
      <c r="U221" s="53"/>
      <c r="V221" s="54">
        <v>1</v>
      </c>
      <c r="W221" s="55" t="s">
        <v>1019</v>
      </c>
      <c r="X221" s="54"/>
      <c r="Y221" s="60"/>
      <c r="Z221" s="100"/>
      <c r="AA221" s="56"/>
      <c r="AB221" s="56"/>
      <c r="AC221" s="54"/>
    </row>
    <row r="222" spans="1:29" s="7" customFormat="1" outlineLevel="3" x14ac:dyDescent="0.25">
      <c r="A222" s="1" t="s">
        <v>5</v>
      </c>
      <c r="B222" s="1" t="s">
        <v>5</v>
      </c>
      <c r="C222" s="1" t="s">
        <v>5</v>
      </c>
      <c r="D222" s="1" t="s">
        <v>4</v>
      </c>
      <c r="E222" s="13" t="s">
        <v>68</v>
      </c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7" t="s">
        <v>69</v>
      </c>
      <c r="V222" s="18">
        <v>1</v>
      </c>
      <c r="W222" s="47" t="s">
        <v>1019</v>
      </c>
      <c r="X222" s="18" t="s">
        <v>70</v>
      </c>
      <c r="Y222" s="18"/>
      <c r="Z222" s="98"/>
      <c r="AA222" s="19">
        <v>18501.669999999998</v>
      </c>
      <c r="AB222" s="19"/>
      <c r="AC222" s="18"/>
    </row>
    <row r="223" spans="1:29" s="7" customFormat="1" outlineLevel="3" x14ac:dyDescent="0.25">
      <c r="A223" s="1" t="s">
        <v>5</v>
      </c>
      <c r="B223" s="1" t="s">
        <v>5</v>
      </c>
      <c r="C223" s="1" t="s">
        <v>5</v>
      </c>
      <c r="D223" s="1" t="s">
        <v>4</v>
      </c>
      <c r="E223" s="13" t="s">
        <v>75</v>
      </c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7" t="s">
        <v>76</v>
      </c>
      <c r="V223" s="18">
        <v>1</v>
      </c>
      <c r="W223" s="47" t="s">
        <v>1019</v>
      </c>
      <c r="X223" s="18" t="s">
        <v>70</v>
      </c>
      <c r="Y223" s="18"/>
      <c r="Z223" s="98"/>
      <c r="AA223" s="19"/>
      <c r="AB223" s="19"/>
      <c r="AC223" s="18"/>
    </row>
    <row r="224" spans="1:29" s="7" customFormat="1" outlineLevel="3" x14ac:dyDescent="0.25">
      <c r="A224" s="50" t="s">
        <v>5</v>
      </c>
      <c r="B224" s="50" t="s">
        <v>5</v>
      </c>
      <c r="C224" s="50" t="s">
        <v>5</v>
      </c>
      <c r="D224" s="50" t="s">
        <v>4</v>
      </c>
      <c r="E224" s="52" t="s">
        <v>1847</v>
      </c>
      <c r="F224" s="58"/>
      <c r="G224" s="58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8"/>
      <c r="U224" s="53"/>
      <c r="V224" s="54">
        <v>2</v>
      </c>
      <c r="W224" s="55" t="s">
        <v>1019</v>
      </c>
      <c r="X224" s="54"/>
      <c r="Y224" s="60"/>
      <c r="Z224" s="100"/>
      <c r="AA224" s="56"/>
      <c r="AB224" s="56"/>
      <c r="AC224" s="54"/>
    </row>
    <row r="225" spans="1:29" s="7" customFormat="1" outlineLevel="3" x14ac:dyDescent="0.25">
      <c r="A225" s="2" t="s">
        <v>5</v>
      </c>
      <c r="B225" s="2" t="s">
        <v>5</v>
      </c>
      <c r="C225" s="2" t="s">
        <v>5</v>
      </c>
      <c r="D225" s="2" t="s">
        <v>4</v>
      </c>
      <c r="E225" s="42" t="s">
        <v>277</v>
      </c>
      <c r="F225" s="42"/>
      <c r="G225" s="57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57"/>
      <c r="U225" s="63" t="s">
        <v>2471</v>
      </c>
      <c r="V225" s="43">
        <v>1</v>
      </c>
      <c r="W225" s="49"/>
      <c r="X225" s="43"/>
      <c r="Y225" s="64"/>
      <c r="Z225" s="99"/>
      <c r="AA225" s="44"/>
      <c r="AB225" s="44"/>
      <c r="AC225" s="43"/>
    </row>
    <row r="226" spans="1:29" s="7" customFormat="1" outlineLevel="3" x14ac:dyDescent="0.25">
      <c r="A226" s="2" t="s">
        <v>5</v>
      </c>
      <c r="B226" s="2" t="s">
        <v>5</v>
      </c>
      <c r="C226" s="2" t="s">
        <v>5</v>
      </c>
      <c r="D226" s="2" t="s">
        <v>4</v>
      </c>
      <c r="E226" s="42" t="s">
        <v>557</v>
      </c>
      <c r="F226" s="57"/>
      <c r="G226" s="57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57"/>
      <c r="U226" s="63" t="s">
        <v>2484</v>
      </c>
      <c r="V226" s="43">
        <v>4</v>
      </c>
      <c r="W226" s="49"/>
      <c r="X226" s="43"/>
      <c r="Y226" s="64"/>
      <c r="Z226" s="99"/>
      <c r="AA226" s="44"/>
      <c r="AB226" s="44"/>
      <c r="AC226" s="43"/>
    </row>
    <row r="227" spans="1:29" s="7" customFormat="1" outlineLevel="3" x14ac:dyDescent="0.25">
      <c r="A227" s="2" t="s">
        <v>5</v>
      </c>
      <c r="B227" s="2" t="s">
        <v>5</v>
      </c>
      <c r="C227" s="2" t="s">
        <v>5</v>
      </c>
      <c r="D227" s="2" t="s">
        <v>4</v>
      </c>
      <c r="E227" s="42" t="s">
        <v>321</v>
      </c>
      <c r="F227" s="57"/>
      <c r="G227" s="57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57"/>
      <c r="U227" s="63" t="s">
        <v>2485</v>
      </c>
      <c r="V227" s="43">
        <v>4</v>
      </c>
      <c r="W227" s="49"/>
      <c r="X227" s="43"/>
      <c r="Y227" s="64"/>
      <c r="Z227" s="99"/>
      <c r="AA227" s="44"/>
      <c r="AB227" s="44"/>
      <c r="AC227" s="43"/>
    </row>
    <row r="228" spans="1:29" s="7" customFormat="1" outlineLevel="3" x14ac:dyDescent="0.25">
      <c r="A228" s="2" t="s">
        <v>5</v>
      </c>
      <c r="B228" s="2" t="s">
        <v>5</v>
      </c>
      <c r="C228" s="2" t="s">
        <v>5</v>
      </c>
      <c r="D228" s="2" t="s">
        <v>4</v>
      </c>
      <c r="E228" s="42" t="s">
        <v>275</v>
      </c>
      <c r="F228" s="42"/>
      <c r="G228" s="57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57"/>
      <c r="U228" s="63" t="s">
        <v>2501</v>
      </c>
      <c r="V228" s="43">
        <v>1</v>
      </c>
      <c r="W228" s="49"/>
      <c r="X228" s="43"/>
      <c r="Y228" s="64"/>
      <c r="Z228" s="99"/>
      <c r="AA228" s="44"/>
      <c r="AB228" s="44"/>
      <c r="AC228" s="43"/>
    </row>
    <row r="229" spans="1:29" s="7" customFormat="1" outlineLevel="3" x14ac:dyDescent="0.25">
      <c r="A229" s="2" t="s">
        <v>5</v>
      </c>
      <c r="B229" s="2" t="s">
        <v>5</v>
      </c>
      <c r="C229" s="2" t="s">
        <v>5</v>
      </c>
      <c r="D229" s="2" t="s">
        <v>4</v>
      </c>
      <c r="E229" s="42" t="s">
        <v>611</v>
      </c>
      <c r="F229" s="42"/>
      <c r="G229" s="57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57"/>
      <c r="U229" s="63" t="s">
        <v>2502</v>
      </c>
      <c r="V229" s="43">
        <v>1</v>
      </c>
      <c r="W229" s="49"/>
      <c r="X229" s="43"/>
      <c r="Y229" s="64"/>
      <c r="Z229" s="99"/>
      <c r="AA229" s="44"/>
      <c r="AB229" s="44"/>
      <c r="AC229" s="43"/>
    </row>
    <row r="230" spans="1:29" s="7" customFormat="1" outlineLevel="3" x14ac:dyDescent="0.25">
      <c r="A230" s="2" t="s">
        <v>5</v>
      </c>
      <c r="B230" s="2" t="s">
        <v>5</v>
      </c>
      <c r="C230" s="2" t="s">
        <v>5</v>
      </c>
      <c r="D230" s="2" t="s">
        <v>4</v>
      </c>
      <c r="E230" s="42" t="s">
        <v>612</v>
      </c>
      <c r="F230" s="42"/>
      <c r="G230" s="57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57"/>
      <c r="U230" s="63" t="s">
        <v>2503</v>
      </c>
      <c r="V230" s="43">
        <v>1</v>
      </c>
      <c r="W230" s="49"/>
      <c r="X230" s="43"/>
      <c r="Y230" s="64"/>
      <c r="Z230" s="99"/>
      <c r="AA230" s="44"/>
      <c r="AB230" s="44"/>
      <c r="AC230" s="43"/>
    </row>
    <row r="231" spans="1:29" s="7" customFormat="1" outlineLevel="3" x14ac:dyDescent="0.25">
      <c r="A231" s="2" t="s">
        <v>5</v>
      </c>
      <c r="B231" s="2" t="s">
        <v>5</v>
      </c>
      <c r="C231" s="2" t="s">
        <v>5</v>
      </c>
      <c r="D231" s="2" t="s">
        <v>4</v>
      </c>
      <c r="E231" s="42" t="s">
        <v>612</v>
      </c>
      <c r="F231" s="42"/>
      <c r="G231" s="57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57"/>
      <c r="U231" s="63" t="s">
        <v>2504</v>
      </c>
      <c r="V231" s="43">
        <v>1</v>
      </c>
      <c r="W231" s="49"/>
      <c r="X231" s="43"/>
      <c r="Y231" s="64"/>
      <c r="Z231" s="99"/>
      <c r="AA231" s="44"/>
      <c r="AB231" s="44"/>
      <c r="AC231" s="43"/>
    </row>
    <row r="232" spans="1:29" s="7" customFormat="1" outlineLevel="3" x14ac:dyDescent="0.25">
      <c r="A232" s="2" t="s">
        <v>5</v>
      </c>
      <c r="B232" s="2" t="s">
        <v>5</v>
      </c>
      <c r="C232" s="2" t="s">
        <v>5</v>
      </c>
      <c r="D232" s="2" t="s">
        <v>4</v>
      </c>
      <c r="E232" s="42" t="s">
        <v>1000</v>
      </c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57"/>
      <c r="U232" s="63"/>
      <c r="V232" s="43">
        <v>2</v>
      </c>
      <c r="W232" s="49"/>
      <c r="X232" s="43"/>
      <c r="Y232" s="43"/>
      <c r="Z232" s="99"/>
      <c r="AA232" s="44">
        <v>1000</v>
      </c>
      <c r="AB232" s="44"/>
      <c r="AC232" s="43"/>
    </row>
    <row r="233" spans="1:29" s="7" customFormat="1" outlineLevel="2" x14ac:dyDescent="0.25">
      <c r="A233" s="1" t="s">
        <v>5</v>
      </c>
      <c r="B233" s="1" t="s">
        <v>5</v>
      </c>
      <c r="C233" s="1" t="s">
        <v>4</v>
      </c>
      <c r="D233" s="5" t="s">
        <v>1049</v>
      </c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7" t="s">
        <v>2240</v>
      </c>
      <c r="V233" s="18">
        <v>1</v>
      </c>
      <c r="W233" s="47" t="s">
        <v>1019</v>
      </c>
      <c r="X233" s="18"/>
      <c r="Y233" s="18"/>
      <c r="Z233" s="98"/>
      <c r="AA233" s="19"/>
      <c r="AB233" s="19"/>
      <c r="AC233" s="18"/>
    </row>
    <row r="234" spans="1:29" s="7" customFormat="1" outlineLevel="3" x14ac:dyDescent="0.25">
      <c r="A234" s="1" t="s">
        <v>5</v>
      </c>
      <c r="B234" s="1" t="s">
        <v>5</v>
      </c>
      <c r="C234" s="1" t="s">
        <v>5</v>
      </c>
      <c r="D234" s="1" t="s">
        <v>4</v>
      </c>
      <c r="E234" s="5" t="s">
        <v>714</v>
      </c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7" t="s">
        <v>2241</v>
      </c>
      <c r="V234" s="18">
        <v>1</v>
      </c>
      <c r="W234" s="47" t="s">
        <v>1019</v>
      </c>
      <c r="X234" s="18"/>
      <c r="Y234" s="18"/>
      <c r="Z234" s="98"/>
      <c r="AA234" s="19">
        <v>4830</v>
      </c>
      <c r="AB234" s="19"/>
      <c r="AC234" s="18"/>
    </row>
    <row r="235" spans="1:29" s="7" customFormat="1" outlineLevel="4" x14ac:dyDescent="0.25">
      <c r="A235" s="1" t="s">
        <v>5</v>
      </c>
      <c r="B235" s="1" t="s">
        <v>5</v>
      </c>
      <c r="C235" s="1" t="s">
        <v>5</v>
      </c>
      <c r="D235" s="1" t="s">
        <v>5</v>
      </c>
      <c r="E235" s="1" t="s">
        <v>4</v>
      </c>
      <c r="F235" s="5" t="s">
        <v>207</v>
      </c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7"/>
      <c r="V235" s="18"/>
      <c r="W235" s="47"/>
      <c r="X235" s="18"/>
      <c r="Y235" s="18"/>
      <c r="Z235" s="98"/>
      <c r="AA235" s="19"/>
      <c r="AB235" s="19"/>
      <c r="AC235" s="18"/>
    </row>
    <row r="236" spans="1:29" s="7" customFormat="1" outlineLevel="4" x14ac:dyDescent="0.25">
      <c r="A236" s="1" t="s">
        <v>5</v>
      </c>
      <c r="B236" s="1" t="s">
        <v>5</v>
      </c>
      <c r="C236" s="1" t="s">
        <v>5</v>
      </c>
      <c r="D236" s="1" t="s">
        <v>5</v>
      </c>
      <c r="E236" s="1" t="s">
        <v>5</v>
      </c>
      <c r="F236" s="1" t="s">
        <v>4</v>
      </c>
      <c r="G236" s="42" t="s">
        <v>1009</v>
      </c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57"/>
      <c r="U236" s="17"/>
      <c r="V236" s="18"/>
      <c r="W236" s="47"/>
      <c r="X236" s="18"/>
      <c r="Y236" s="18"/>
      <c r="Z236" s="98"/>
      <c r="AA236" s="19"/>
      <c r="AB236" s="19"/>
      <c r="AC236" s="18"/>
    </row>
    <row r="237" spans="1:29" s="7" customFormat="1" outlineLevel="4" x14ac:dyDescent="0.25">
      <c r="A237" s="1" t="s">
        <v>5</v>
      </c>
      <c r="B237" s="1" t="s">
        <v>5</v>
      </c>
      <c r="C237" s="1" t="s">
        <v>5</v>
      </c>
      <c r="D237" s="1" t="s">
        <v>5</v>
      </c>
      <c r="E237" s="1" t="s">
        <v>5</v>
      </c>
      <c r="F237" s="1" t="s">
        <v>4</v>
      </c>
      <c r="G237" s="42" t="s">
        <v>1009</v>
      </c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57"/>
      <c r="U237" s="17"/>
      <c r="V237" s="18"/>
      <c r="W237" s="47"/>
      <c r="X237" s="18"/>
      <c r="Y237" s="18"/>
      <c r="Z237" s="98"/>
      <c r="AA237" s="19"/>
      <c r="AB237" s="19"/>
      <c r="AC237" s="18"/>
    </row>
    <row r="238" spans="1:29" s="7" customFormat="1" outlineLevel="4" x14ac:dyDescent="0.25">
      <c r="A238" s="1" t="s">
        <v>5</v>
      </c>
      <c r="B238" s="1" t="s">
        <v>5</v>
      </c>
      <c r="C238" s="1" t="s">
        <v>5</v>
      </c>
      <c r="D238" s="1" t="s">
        <v>5</v>
      </c>
      <c r="E238" s="1" t="s">
        <v>5</v>
      </c>
      <c r="F238" s="1" t="s">
        <v>4</v>
      </c>
      <c r="G238" s="42" t="s">
        <v>1009</v>
      </c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57"/>
      <c r="U238" s="17"/>
      <c r="V238" s="18"/>
      <c r="W238" s="47"/>
      <c r="X238" s="18"/>
      <c r="Y238" s="18"/>
      <c r="Z238" s="98"/>
      <c r="AA238" s="19"/>
      <c r="AB238" s="19"/>
      <c r="AC238" s="18"/>
    </row>
    <row r="239" spans="1:29" s="7" customFormat="1" outlineLevel="4" x14ac:dyDescent="0.25">
      <c r="A239" s="1" t="s">
        <v>5</v>
      </c>
      <c r="B239" s="1" t="s">
        <v>5</v>
      </c>
      <c r="C239" s="1" t="s">
        <v>5</v>
      </c>
      <c r="D239" s="1" t="s">
        <v>5</v>
      </c>
      <c r="E239" s="1" t="s">
        <v>5</v>
      </c>
      <c r="F239" s="1" t="s">
        <v>4</v>
      </c>
      <c r="G239" s="42" t="s">
        <v>1009</v>
      </c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57"/>
      <c r="U239" s="17"/>
      <c r="V239" s="18"/>
      <c r="W239" s="47"/>
      <c r="X239" s="18"/>
      <c r="Y239" s="18"/>
      <c r="Z239" s="98"/>
      <c r="AA239" s="19"/>
      <c r="AB239" s="19"/>
      <c r="AC239" s="18"/>
    </row>
    <row r="240" spans="1:29" s="7" customFormat="1" outlineLevel="4" x14ac:dyDescent="0.25">
      <c r="A240" s="1" t="s">
        <v>5</v>
      </c>
      <c r="B240" s="1" t="s">
        <v>5</v>
      </c>
      <c r="C240" s="1" t="s">
        <v>5</v>
      </c>
      <c r="D240" s="1" t="s">
        <v>5</v>
      </c>
      <c r="E240" s="1" t="s">
        <v>4</v>
      </c>
      <c r="F240" s="13" t="s">
        <v>2505</v>
      </c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7" t="s">
        <v>2242</v>
      </c>
      <c r="V240" s="18">
        <v>1</v>
      </c>
      <c r="W240" s="47" t="s">
        <v>1019</v>
      </c>
      <c r="X240" s="18"/>
      <c r="Y240" s="18"/>
      <c r="Z240" s="98"/>
      <c r="AA240" s="19"/>
      <c r="AB240" s="19"/>
      <c r="AC240" s="18"/>
    </row>
    <row r="241" spans="1:29" s="7" customFormat="1" outlineLevel="4" x14ac:dyDescent="0.25">
      <c r="A241" s="1" t="s">
        <v>5</v>
      </c>
      <c r="B241" s="1" t="s">
        <v>5</v>
      </c>
      <c r="C241" s="1" t="s">
        <v>5</v>
      </c>
      <c r="D241" s="1" t="s">
        <v>5</v>
      </c>
      <c r="E241" s="1" t="s">
        <v>4</v>
      </c>
      <c r="F241" s="13" t="s">
        <v>53</v>
      </c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7" t="s">
        <v>2243</v>
      </c>
      <c r="V241" s="18">
        <v>1</v>
      </c>
      <c r="W241" s="47" t="s">
        <v>1019</v>
      </c>
      <c r="X241" s="18"/>
      <c r="Y241" s="18"/>
      <c r="Z241" s="98"/>
      <c r="AA241" s="19"/>
      <c r="AB241" s="19"/>
      <c r="AC241" s="18"/>
    </row>
    <row r="242" spans="1:29" s="7" customFormat="1" outlineLevel="4" x14ac:dyDescent="0.25">
      <c r="A242" s="1" t="s">
        <v>5</v>
      </c>
      <c r="B242" s="1" t="s">
        <v>5</v>
      </c>
      <c r="C242" s="1" t="s">
        <v>5</v>
      </c>
      <c r="D242" s="1" t="s">
        <v>5</v>
      </c>
      <c r="E242" s="1" t="s">
        <v>4</v>
      </c>
      <c r="F242" s="13" t="s">
        <v>715</v>
      </c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7" t="s">
        <v>716</v>
      </c>
      <c r="V242" s="18">
        <v>23</v>
      </c>
      <c r="W242" s="47" t="s">
        <v>1019</v>
      </c>
      <c r="X242" s="18"/>
      <c r="Y242" s="18"/>
      <c r="Z242" s="98"/>
      <c r="AA242" s="19"/>
      <c r="AB242" s="19"/>
      <c r="AC242" s="18"/>
    </row>
    <row r="243" spans="1:29" s="7" customFormat="1" outlineLevel="4" x14ac:dyDescent="0.25">
      <c r="A243" s="1" t="s">
        <v>5</v>
      </c>
      <c r="B243" s="1" t="s">
        <v>5</v>
      </c>
      <c r="C243" s="1" t="s">
        <v>5</v>
      </c>
      <c r="D243" s="1" t="s">
        <v>5</v>
      </c>
      <c r="E243" s="1" t="s">
        <v>4</v>
      </c>
      <c r="F243" s="13" t="s">
        <v>717</v>
      </c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7" t="s">
        <v>718</v>
      </c>
      <c r="V243" s="18">
        <v>14</v>
      </c>
      <c r="W243" s="47" t="s">
        <v>1019</v>
      </c>
      <c r="X243" s="18"/>
      <c r="Y243" s="18"/>
      <c r="Z243" s="98"/>
      <c r="AA243" s="19"/>
      <c r="AB243" s="19"/>
      <c r="AC243" s="18"/>
    </row>
    <row r="244" spans="1:29" s="7" customFormat="1" outlineLevel="4" x14ac:dyDescent="0.25">
      <c r="A244" s="1" t="s">
        <v>5</v>
      </c>
      <c r="B244" s="1" t="s">
        <v>5</v>
      </c>
      <c r="C244" s="1" t="s">
        <v>5</v>
      </c>
      <c r="D244" s="1" t="s">
        <v>5</v>
      </c>
      <c r="E244" s="1" t="s">
        <v>4</v>
      </c>
      <c r="F244" s="13" t="s">
        <v>719</v>
      </c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7" t="s">
        <v>720</v>
      </c>
      <c r="V244" s="18">
        <v>5</v>
      </c>
      <c r="W244" s="47" t="s">
        <v>1019</v>
      </c>
      <c r="X244" s="18"/>
      <c r="Y244" s="18"/>
      <c r="Z244" s="98"/>
      <c r="AA244" s="19"/>
      <c r="AB244" s="19"/>
      <c r="AC244" s="18"/>
    </row>
    <row r="245" spans="1:29" s="7" customFormat="1" outlineLevel="4" x14ac:dyDescent="0.25">
      <c r="A245" s="1" t="s">
        <v>5</v>
      </c>
      <c r="B245" s="1" t="s">
        <v>5</v>
      </c>
      <c r="C245" s="1" t="s">
        <v>5</v>
      </c>
      <c r="D245" s="1" t="s">
        <v>5</v>
      </c>
      <c r="E245" s="1" t="s">
        <v>4</v>
      </c>
      <c r="F245" s="13" t="s">
        <v>241</v>
      </c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7" t="s">
        <v>242</v>
      </c>
      <c r="V245" s="18">
        <v>19</v>
      </c>
      <c r="W245" s="47" t="s">
        <v>1019</v>
      </c>
      <c r="X245" s="18"/>
      <c r="Y245" s="18"/>
      <c r="Z245" s="98"/>
      <c r="AA245" s="19"/>
      <c r="AB245" s="19"/>
      <c r="AC245" s="18"/>
    </row>
    <row r="246" spans="1:29" s="7" customFormat="1" outlineLevel="4" x14ac:dyDescent="0.25">
      <c r="A246" s="1" t="s">
        <v>5</v>
      </c>
      <c r="B246" s="1" t="s">
        <v>5</v>
      </c>
      <c r="C246" s="1" t="s">
        <v>5</v>
      </c>
      <c r="D246" s="1" t="s">
        <v>5</v>
      </c>
      <c r="E246" s="1" t="s">
        <v>4</v>
      </c>
      <c r="F246" s="13" t="s">
        <v>721</v>
      </c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7" t="s">
        <v>733</v>
      </c>
      <c r="V246" s="18">
        <v>2</v>
      </c>
      <c r="W246" s="47" t="s">
        <v>1019</v>
      </c>
      <c r="X246" s="18"/>
      <c r="Y246" s="18"/>
      <c r="Z246" s="98"/>
      <c r="AA246" s="19"/>
      <c r="AB246" s="19"/>
      <c r="AC246" s="18"/>
    </row>
    <row r="247" spans="1:29" s="7" customFormat="1" outlineLevel="4" x14ac:dyDescent="0.25">
      <c r="A247" s="1" t="s">
        <v>5</v>
      </c>
      <c r="B247" s="1" t="s">
        <v>5</v>
      </c>
      <c r="C247" s="1" t="s">
        <v>5</v>
      </c>
      <c r="D247" s="1" t="s">
        <v>5</v>
      </c>
      <c r="E247" s="1" t="s">
        <v>4</v>
      </c>
      <c r="F247" s="13" t="s">
        <v>722</v>
      </c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7" t="s">
        <v>734</v>
      </c>
      <c r="V247" s="18">
        <v>1</v>
      </c>
      <c r="W247" s="47" t="s">
        <v>1019</v>
      </c>
      <c r="X247" s="18"/>
      <c r="Y247" s="18"/>
      <c r="Z247" s="98"/>
      <c r="AA247" s="19"/>
      <c r="AB247" s="19"/>
      <c r="AC247" s="18"/>
    </row>
    <row r="248" spans="1:29" s="7" customFormat="1" outlineLevel="4" x14ac:dyDescent="0.25">
      <c r="A248" s="1" t="s">
        <v>5</v>
      </c>
      <c r="B248" s="1" t="s">
        <v>5</v>
      </c>
      <c r="C248" s="1" t="s">
        <v>5</v>
      </c>
      <c r="D248" s="1" t="s">
        <v>5</v>
      </c>
      <c r="E248" s="1" t="s">
        <v>4</v>
      </c>
      <c r="F248" s="13" t="s">
        <v>723</v>
      </c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7" t="s">
        <v>735</v>
      </c>
      <c r="V248" s="18">
        <v>1</v>
      </c>
      <c r="W248" s="47" t="s">
        <v>1019</v>
      </c>
      <c r="X248" s="18"/>
      <c r="Y248" s="18"/>
      <c r="Z248" s="98"/>
      <c r="AA248" s="19"/>
      <c r="AB248" s="19"/>
      <c r="AC248" s="18"/>
    </row>
    <row r="249" spans="1:29" s="7" customFormat="1" outlineLevel="4" x14ac:dyDescent="0.25">
      <c r="A249" s="1" t="s">
        <v>5</v>
      </c>
      <c r="B249" s="1" t="s">
        <v>5</v>
      </c>
      <c r="C249" s="1" t="s">
        <v>5</v>
      </c>
      <c r="D249" s="1" t="s">
        <v>5</v>
      </c>
      <c r="E249" s="1" t="s">
        <v>4</v>
      </c>
      <c r="F249" s="13" t="s">
        <v>724</v>
      </c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7" t="s">
        <v>736</v>
      </c>
      <c r="V249" s="18">
        <v>1</v>
      </c>
      <c r="W249" s="47" t="s">
        <v>1019</v>
      </c>
      <c r="X249" s="18"/>
      <c r="Y249" s="18"/>
      <c r="Z249" s="98"/>
      <c r="AA249" s="19"/>
      <c r="AB249" s="19"/>
      <c r="AC249" s="18"/>
    </row>
    <row r="250" spans="1:29" s="7" customFormat="1" outlineLevel="4" x14ac:dyDescent="0.25">
      <c r="A250" s="1" t="s">
        <v>5</v>
      </c>
      <c r="B250" s="1" t="s">
        <v>5</v>
      </c>
      <c r="C250" s="1" t="s">
        <v>5</v>
      </c>
      <c r="D250" s="1" t="s">
        <v>5</v>
      </c>
      <c r="E250" s="1" t="s">
        <v>4</v>
      </c>
      <c r="F250" s="13" t="s">
        <v>725</v>
      </c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7" t="s">
        <v>737</v>
      </c>
      <c r="V250" s="18">
        <v>2</v>
      </c>
      <c r="W250" s="47" t="s">
        <v>1019</v>
      </c>
      <c r="X250" s="18"/>
      <c r="Y250" s="18"/>
      <c r="Z250" s="98"/>
      <c r="AA250" s="19"/>
      <c r="AB250" s="19"/>
      <c r="AC250" s="18"/>
    </row>
    <row r="251" spans="1:29" s="7" customFormat="1" outlineLevel="4" x14ac:dyDescent="0.25">
      <c r="A251" s="1" t="s">
        <v>5</v>
      </c>
      <c r="B251" s="1" t="s">
        <v>5</v>
      </c>
      <c r="C251" s="1" t="s">
        <v>5</v>
      </c>
      <c r="D251" s="1" t="s">
        <v>5</v>
      </c>
      <c r="E251" s="1" t="s">
        <v>4</v>
      </c>
      <c r="F251" s="13" t="s">
        <v>726</v>
      </c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7" t="s">
        <v>738</v>
      </c>
      <c r="V251" s="18">
        <v>1</v>
      </c>
      <c r="W251" s="47" t="s">
        <v>1019</v>
      </c>
      <c r="X251" s="18"/>
      <c r="Y251" s="18"/>
      <c r="Z251" s="98"/>
      <c r="AA251" s="19"/>
      <c r="AB251" s="19"/>
      <c r="AC251" s="18"/>
    </row>
    <row r="252" spans="1:29" s="7" customFormat="1" outlineLevel="4" x14ac:dyDescent="0.25">
      <c r="A252" s="1" t="s">
        <v>5</v>
      </c>
      <c r="B252" s="1" t="s">
        <v>5</v>
      </c>
      <c r="C252" s="1" t="s">
        <v>5</v>
      </c>
      <c r="D252" s="1" t="s">
        <v>5</v>
      </c>
      <c r="E252" s="1" t="s">
        <v>4</v>
      </c>
      <c r="F252" s="13" t="s">
        <v>727</v>
      </c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7" t="s">
        <v>739</v>
      </c>
      <c r="V252" s="18">
        <v>1</v>
      </c>
      <c r="W252" s="47" t="s">
        <v>1019</v>
      </c>
      <c r="X252" s="18"/>
      <c r="Y252" s="18"/>
      <c r="Z252" s="98"/>
      <c r="AA252" s="19"/>
      <c r="AB252" s="19"/>
      <c r="AC252" s="18"/>
    </row>
    <row r="253" spans="1:29" s="7" customFormat="1" outlineLevel="4" x14ac:dyDescent="0.25">
      <c r="A253" s="1" t="s">
        <v>5</v>
      </c>
      <c r="B253" s="1" t="s">
        <v>5</v>
      </c>
      <c r="C253" s="1" t="s">
        <v>5</v>
      </c>
      <c r="D253" s="1" t="s">
        <v>5</v>
      </c>
      <c r="E253" s="1" t="s">
        <v>4</v>
      </c>
      <c r="F253" s="13" t="s">
        <v>728</v>
      </c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7" t="s">
        <v>455</v>
      </c>
      <c r="V253" s="18">
        <v>2</v>
      </c>
      <c r="W253" s="47" t="s">
        <v>1019</v>
      </c>
      <c r="X253" s="18"/>
      <c r="Y253" s="18"/>
      <c r="Z253" s="98"/>
      <c r="AA253" s="19"/>
      <c r="AB253" s="19"/>
      <c r="AC253" s="18"/>
    </row>
    <row r="254" spans="1:29" s="7" customFormat="1" outlineLevel="4" x14ac:dyDescent="0.25">
      <c r="A254" s="1" t="s">
        <v>5</v>
      </c>
      <c r="B254" s="1" t="s">
        <v>5</v>
      </c>
      <c r="C254" s="1" t="s">
        <v>5</v>
      </c>
      <c r="D254" s="1" t="s">
        <v>5</v>
      </c>
      <c r="E254" s="1" t="s">
        <v>4</v>
      </c>
      <c r="F254" s="13" t="s">
        <v>729</v>
      </c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7" t="s">
        <v>740</v>
      </c>
      <c r="V254" s="18">
        <v>1</v>
      </c>
      <c r="W254" s="47" t="s">
        <v>1019</v>
      </c>
      <c r="X254" s="18"/>
      <c r="Y254" s="18"/>
      <c r="Z254" s="98"/>
      <c r="AA254" s="19"/>
      <c r="AB254" s="19"/>
      <c r="AC254" s="18"/>
    </row>
    <row r="255" spans="1:29" s="7" customFormat="1" outlineLevel="4" x14ac:dyDescent="0.25">
      <c r="A255" s="1" t="s">
        <v>5</v>
      </c>
      <c r="B255" s="1" t="s">
        <v>5</v>
      </c>
      <c r="C255" s="1" t="s">
        <v>5</v>
      </c>
      <c r="D255" s="1" t="s">
        <v>5</v>
      </c>
      <c r="E255" s="1" t="s">
        <v>4</v>
      </c>
      <c r="F255" s="13" t="s">
        <v>730</v>
      </c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7" t="s">
        <v>741</v>
      </c>
      <c r="V255" s="18">
        <v>1</v>
      </c>
      <c r="W255" s="47" t="s">
        <v>1019</v>
      </c>
      <c r="X255" s="18"/>
      <c r="Y255" s="18"/>
      <c r="Z255" s="98"/>
      <c r="AA255" s="19"/>
      <c r="AB255" s="19"/>
      <c r="AC255" s="18"/>
    </row>
    <row r="256" spans="1:29" s="7" customFormat="1" outlineLevel="4" x14ac:dyDescent="0.25">
      <c r="A256" s="1" t="s">
        <v>5</v>
      </c>
      <c r="B256" s="1" t="s">
        <v>5</v>
      </c>
      <c r="C256" s="1" t="s">
        <v>5</v>
      </c>
      <c r="D256" s="1" t="s">
        <v>5</v>
      </c>
      <c r="E256" s="1" t="s">
        <v>4</v>
      </c>
      <c r="F256" s="13" t="s">
        <v>731</v>
      </c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7" t="s">
        <v>742</v>
      </c>
      <c r="V256" s="18">
        <v>3</v>
      </c>
      <c r="W256" s="47" t="s">
        <v>1019</v>
      </c>
      <c r="X256" s="18"/>
      <c r="Y256" s="18"/>
      <c r="Z256" s="98"/>
      <c r="AA256" s="19"/>
      <c r="AB256" s="19"/>
      <c r="AC256" s="18"/>
    </row>
    <row r="257" spans="1:29" s="7" customFormat="1" outlineLevel="4" x14ac:dyDescent="0.25">
      <c r="A257" s="1" t="s">
        <v>5</v>
      </c>
      <c r="B257" s="1" t="s">
        <v>5</v>
      </c>
      <c r="C257" s="1" t="s">
        <v>5</v>
      </c>
      <c r="D257" s="1" t="s">
        <v>5</v>
      </c>
      <c r="E257" s="1" t="s">
        <v>4</v>
      </c>
      <c r="F257" s="13" t="s">
        <v>732</v>
      </c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7" t="s">
        <v>743</v>
      </c>
      <c r="V257" s="18">
        <v>10</v>
      </c>
      <c r="W257" s="47" t="s">
        <v>1019</v>
      </c>
      <c r="X257" s="18"/>
      <c r="Y257" s="18"/>
      <c r="Z257" s="98"/>
      <c r="AA257" s="19"/>
      <c r="AB257" s="19"/>
      <c r="AC257" s="18"/>
    </row>
    <row r="258" spans="1:29" s="7" customFormat="1" outlineLevel="4" x14ac:dyDescent="0.25">
      <c r="A258" s="1" t="s">
        <v>5</v>
      </c>
      <c r="B258" s="1" t="s">
        <v>5</v>
      </c>
      <c r="C258" s="1" t="s">
        <v>5</v>
      </c>
      <c r="D258" s="1" t="s">
        <v>5</v>
      </c>
      <c r="E258" s="1" t="s">
        <v>4</v>
      </c>
      <c r="F258" s="13" t="s">
        <v>744</v>
      </c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7" t="s">
        <v>746</v>
      </c>
      <c r="V258" s="18">
        <v>2</v>
      </c>
      <c r="W258" s="47" t="s">
        <v>1019</v>
      </c>
      <c r="X258" s="18"/>
      <c r="Y258" s="18"/>
      <c r="Z258" s="98"/>
      <c r="AA258" s="19"/>
      <c r="AB258" s="19"/>
      <c r="AC258" s="18"/>
    </row>
    <row r="259" spans="1:29" s="7" customFormat="1" outlineLevel="4" x14ac:dyDescent="0.25">
      <c r="A259" s="1" t="s">
        <v>5</v>
      </c>
      <c r="B259" s="1" t="s">
        <v>5</v>
      </c>
      <c r="C259" s="1" t="s">
        <v>5</v>
      </c>
      <c r="D259" s="1" t="s">
        <v>5</v>
      </c>
      <c r="E259" s="1" t="s">
        <v>4</v>
      </c>
      <c r="F259" s="13" t="s">
        <v>745</v>
      </c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7" t="s">
        <v>747</v>
      </c>
      <c r="V259" s="18">
        <v>5</v>
      </c>
      <c r="W259" s="47" t="s">
        <v>1019</v>
      </c>
      <c r="X259" s="18"/>
      <c r="Y259" s="18"/>
      <c r="Z259" s="98"/>
      <c r="AA259" s="19"/>
      <c r="AB259" s="19"/>
      <c r="AC259" s="18"/>
    </row>
    <row r="260" spans="1:29" s="7" customFormat="1" outlineLevel="4" x14ac:dyDescent="0.25">
      <c r="A260" s="1" t="s">
        <v>5</v>
      </c>
      <c r="B260" s="1" t="s">
        <v>5</v>
      </c>
      <c r="C260" s="1" t="s">
        <v>5</v>
      </c>
      <c r="D260" s="1" t="s">
        <v>5</v>
      </c>
      <c r="E260" s="1" t="s">
        <v>4</v>
      </c>
      <c r="F260" s="13" t="s">
        <v>748</v>
      </c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7" t="s">
        <v>749</v>
      </c>
      <c r="V260" s="18">
        <v>23</v>
      </c>
      <c r="W260" s="47" t="s">
        <v>1019</v>
      </c>
      <c r="X260" s="18"/>
      <c r="Y260" s="18"/>
      <c r="Z260" s="98"/>
      <c r="AA260" s="19"/>
      <c r="AB260" s="19"/>
      <c r="AC260" s="18"/>
    </row>
    <row r="261" spans="1:29" s="7" customFormat="1" outlineLevel="4" x14ac:dyDescent="0.25">
      <c r="A261" s="1" t="s">
        <v>5</v>
      </c>
      <c r="B261" s="1" t="s">
        <v>5</v>
      </c>
      <c r="C261" s="1" t="s">
        <v>5</v>
      </c>
      <c r="D261" s="1" t="s">
        <v>5</v>
      </c>
      <c r="E261" s="1" t="s">
        <v>4</v>
      </c>
      <c r="F261" s="13" t="s">
        <v>750</v>
      </c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U261" s="17" t="s">
        <v>771</v>
      </c>
      <c r="V261" s="18">
        <v>2</v>
      </c>
      <c r="W261" s="47" t="s">
        <v>1019</v>
      </c>
      <c r="X261" s="18"/>
      <c r="Y261" s="18"/>
      <c r="Z261" s="98"/>
      <c r="AA261" s="19"/>
      <c r="AB261" s="19"/>
      <c r="AC261" s="18"/>
    </row>
    <row r="262" spans="1:29" s="7" customFormat="1" outlineLevel="4" x14ac:dyDescent="0.25">
      <c r="A262" s="1" t="s">
        <v>5</v>
      </c>
      <c r="B262" s="1" t="s">
        <v>5</v>
      </c>
      <c r="C262" s="1" t="s">
        <v>5</v>
      </c>
      <c r="D262" s="1" t="s">
        <v>5</v>
      </c>
      <c r="E262" s="1" t="s">
        <v>4</v>
      </c>
      <c r="F262" s="13" t="s">
        <v>751</v>
      </c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U262" s="17" t="s">
        <v>772</v>
      </c>
      <c r="V262" s="18">
        <v>1</v>
      </c>
      <c r="W262" s="47" t="s">
        <v>1019</v>
      </c>
      <c r="X262" s="18"/>
      <c r="Y262" s="18"/>
      <c r="Z262" s="98"/>
      <c r="AA262" s="19"/>
      <c r="AB262" s="19"/>
      <c r="AC262" s="18"/>
    </row>
    <row r="263" spans="1:29" s="7" customFormat="1" outlineLevel="4" x14ac:dyDescent="0.25">
      <c r="A263" s="1" t="s">
        <v>5</v>
      </c>
      <c r="B263" s="1" t="s">
        <v>5</v>
      </c>
      <c r="C263" s="1" t="s">
        <v>5</v>
      </c>
      <c r="D263" s="1" t="s">
        <v>5</v>
      </c>
      <c r="E263" s="1" t="s">
        <v>4</v>
      </c>
      <c r="F263" s="13" t="s">
        <v>752</v>
      </c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U263" s="17" t="s">
        <v>773</v>
      </c>
      <c r="V263" s="18">
        <v>1</v>
      </c>
      <c r="W263" s="47" t="s">
        <v>1019</v>
      </c>
      <c r="X263" s="18"/>
      <c r="Y263" s="18"/>
      <c r="Z263" s="98"/>
      <c r="AA263" s="19"/>
      <c r="AB263" s="19"/>
      <c r="AC263" s="18"/>
    </row>
    <row r="264" spans="1:29" s="7" customFormat="1" outlineLevel="4" x14ac:dyDescent="0.25">
      <c r="A264" s="1" t="s">
        <v>5</v>
      </c>
      <c r="B264" s="1" t="s">
        <v>5</v>
      </c>
      <c r="C264" s="1" t="s">
        <v>5</v>
      </c>
      <c r="D264" s="1" t="s">
        <v>5</v>
      </c>
      <c r="E264" s="1" t="s">
        <v>4</v>
      </c>
      <c r="F264" s="13" t="s">
        <v>753</v>
      </c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U264" s="17" t="s">
        <v>774</v>
      </c>
      <c r="V264" s="18">
        <v>2</v>
      </c>
      <c r="W264" s="47" t="s">
        <v>1019</v>
      </c>
      <c r="X264" s="18"/>
      <c r="Y264" s="18"/>
      <c r="Z264" s="98"/>
      <c r="AA264" s="19"/>
      <c r="AB264" s="19"/>
      <c r="AC264" s="18"/>
    </row>
    <row r="265" spans="1:29" s="7" customFormat="1" outlineLevel="4" x14ac:dyDescent="0.25">
      <c r="A265" s="1" t="s">
        <v>5</v>
      </c>
      <c r="B265" s="1" t="s">
        <v>5</v>
      </c>
      <c r="C265" s="1" t="s">
        <v>5</v>
      </c>
      <c r="D265" s="1" t="s">
        <v>5</v>
      </c>
      <c r="E265" s="1" t="s">
        <v>4</v>
      </c>
      <c r="F265" s="13" t="s">
        <v>754</v>
      </c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U265" s="17" t="s">
        <v>775</v>
      </c>
      <c r="V265" s="18">
        <v>2</v>
      </c>
      <c r="W265" s="47" t="s">
        <v>1019</v>
      </c>
      <c r="X265" s="18"/>
      <c r="Y265" s="18"/>
      <c r="Z265" s="98"/>
      <c r="AA265" s="19"/>
      <c r="AB265" s="19"/>
      <c r="AC265" s="18"/>
    </row>
    <row r="266" spans="1:29" s="7" customFormat="1" outlineLevel="4" x14ac:dyDescent="0.25">
      <c r="A266" s="1" t="s">
        <v>5</v>
      </c>
      <c r="B266" s="1" t="s">
        <v>5</v>
      </c>
      <c r="C266" s="1" t="s">
        <v>5</v>
      </c>
      <c r="D266" s="1" t="s">
        <v>5</v>
      </c>
      <c r="E266" s="1" t="s">
        <v>4</v>
      </c>
      <c r="F266" s="13" t="s">
        <v>644</v>
      </c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U266" s="17" t="s">
        <v>682</v>
      </c>
      <c r="V266" s="18">
        <v>2</v>
      </c>
      <c r="W266" s="47" t="s">
        <v>1019</v>
      </c>
      <c r="X266" s="18"/>
      <c r="Y266" s="18"/>
      <c r="Z266" s="98"/>
      <c r="AA266" s="19"/>
      <c r="AB266" s="19"/>
      <c r="AC266" s="18"/>
    </row>
    <row r="267" spans="1:29" s="7" customFormat="1" outlineLevel="4" x14ac:dyDescent="0.25">
      <c r="A267" s="1" t="s">
        <v>5</v>
      </c>
      <c r="B267" s="1" t="s">
        <v>5</v>
      </c>
      <c r="C267" s="1" t="s">
        <v>5</v>
      </c>
      <c r="D267" s="1" t="s">
        <v>5</v>
      </c>
      <c r="E267" s="1" t="s">
        <v>4</v>
      </c>
      <c r="F267" s="13" t="s">
        <v>755</v>
      </c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U267" s="17" t="s">
        <v>776</v>
      </c>
      <c r="V267" s="18">
        <v>8</v>
      </c>
      <c r="W267" s="47" t="s">
        <v>1019</v>
      </c>
      <c r="X267" s="18"/>
      <c r="Y267" s="18"/>
      <c r="Z267" s="98"/>
      <c r="AA267" s="19"/>
      <c r="AB267" s="19"/>
      <c r="AC267" s="18"/>
    </row>
    <row r="268" spans="1:29" s="7" customFormat="1" outlineLevel="4" x14ac:dyDescent="0.25">
      <c r="A268" s="1" t="s">
        <v>5</v>
      </c>
      <c r="B268" s="1" t="s">
        <v>5</v>
      </c>
      <c r="C268" s="1" t="s">
        <v>5</v>
      </c>
      <c r="D268" s="1" t="s">
        <v>5</v>
      </c>
      <c r="E268" s="1" t="s">
        <v>4</v>
      </c>
      <c r="F268" s="13" t="s">
        <v>756</v>
      </c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U268" s="17" t="s">
        <v>777</v>
      </c>
      <c r="V268" s="18">
        <v>1</v>
      </c>
      <c r="W268" s="47" t="s">
        <v>1019</v>
      </c>
      <c r="X268" s="18"/>
      <c r="Y268" s="18"/>
      <c r="Z268" s="98"/>
      <c r="AA268" s="19"/>
      <c r="AB268" s="19"/>
      <c r="AC268" s="18"/>
    </row>
    <row r="269" spans="1:29" s="7" customFormat="1" outlineLevel="4" x14ac:dyDescent="0.25">
      <c r="A269" s="1" t="s">
        <v>5</v>
      </c>
      <c r="B269" s="1" t="s">
        <v>5</v>
      </c>
      <c r="C269" s="1" t="s">
        <v>5</v>
      </c>
      <c r="D269" s="1" t="s">
        <v>5</v>
      </c>
      <c r="E269" s="1" t="s">
        <v>4</v>
      </c>
      <c r="F269" s="13" t="s">
        <v>757</v>
      </c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U269" s="17" t="s">
        <v>778</v>
      </c>
      <c r="V269" s="18">
        <v>1</v>
      </c>
      <c r="W269" s="47" t="s">
        <v>1019</v>
      </c>
      <c r="X269" s="18"/>
      <c r="Y269" s="18"/>
      <c r="Z269" s="98"/>
      <c r="AA269" s="19"/>
      <c r="AB269" s="19"/>
      <c r="AC269" s="18"/>
    </row>
    <row r="270" spans="1:29" s="7" customFormat="1" outlineLevel="4" x14ac:dyDescent="0.25">
      <c r="A270" s="1" t="s">
        <v>5</v>
      </c>
      <c r="B270" s="1" t="s">
        <v>5</v>
      </c>
      <c r="C270" s="1" t="s">
        <v>5</v>
      </c>
      <c r="D270" s="1" t="s">
        <v>5</v>
      </c>
      <c r="E270" s="1" t="s">
        <v>4</v>
      </c>
      <c r="F270" s="13" t="s">
        <v>758</v>
      </c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U270" s="17" t="s">
        <v>779</v>
      </c>
      <c r="V270" s="18">
        <v>2</v>
      </c>
      <c r="W270" s="47" t="s">
        <v>1019</v>
      </c>
      <c r="X270" s="18"/>
      <c r="Y270" s="18"/>
      <c r="Z270" s="98"/>
      <c r="AA270" s="19"/>
      <c r="AB270" s="19"/>
      <c r="AC270" s="18"/>
    </row>
    <row r="271" spans="1:29" s="7" customFormat="1" outlineLevel="4" x14ac:dyDescent="0.25">
      <c r="A271" s="1" t="s">
        <v>5</v>
      </c>
      <c r="B271" s="1" t="s">
        <v>5</v>
      </c>
      <c r="C271" s="1" t="s">
        <v>5</v>
      </c>
      <c r="D271" s="1" t="s">
        <v>5</v>
      </c>
      <c r="E271" s="1" t="s">
        <v>4</v>
      </c>
      <c r="F271" s="13" t="s">
        <v>759</v>
      </c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U271" s="17" t="s">
        <v>780</v>
      </c>
      <c r="V271" s="18">
        <v>1</v>
      </c>
      <c r="W271" s="47" t="s">
        <v>1019</v>
      </c>
      <c r="X271" s="18"/>
      <c r="Y271" s="18"/>
      <c r="Z271" s="98"/>
      <c r="AA271" s="19"/>
      <c r="AB271" s="19"/>
      <c r="AC271" s="18"/>
    </row>
    <row r="272" spans="1:29" s="7" customFormat="1" outlineLevel="4" x14ac:dyDescent="0.25">
      <c r="A272" s="1" t="s">
        <v>5</v>
      </c>
      <c r="B272" s="1" t="s">
        <v>5</v>
      </c>
      <c r="C272" s="1" t="s">
        <v>5</v>
      </c>
      <c r="D272" s="1" t="s">
        <v>5</v>
      </c>
      <c r="E272" s="1" t="s">
        <v>4</v>
      </c>
      <c r="F272" s="13" t="s">
        <v>760</v>
      </c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U272" s="17" t="s">
        <v>781</v>
      </c>
      <c r="V272" s="18">
        <v>1</v>
      </c>
      <c r="W272" s="47" t="s">
        <v>1019</v>
      </c>
      <c r="X272" s="18"/>
      <c r="Y272" s="18"/>
      <c r="Z272" s="98"/>
      <c r="AA272" s="19"/>
      <c r="AB272" s="19"/>
      <c r="AC272" s="18"/>
    </row>
    <row r="273" spans="1:29" s="7" customFormat="1" outlineLevel="4" x14ac:dyDescent="0.25">
      <c r="A273" s="1" t="s">
        <v>5</v>
      </c>
      <c r="B273" s="1" t="s">
        <v>5</v>
      </c>
      <c r="C273" s="1" t="s">
        <v>5</v>
      </c>
      <c r="D273" s="1" t="s">
        <v>5</v>
      </c>
      <c r="E273" s="1" t="s">
        <v>4</v>
      </c>
      <c r="F273" s="13" t="s">
        <v>761</v>
      </c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U273" s="17" t="s">
        <v>782</v>
      </c>
      <c r="V273" s="18">
        <v>1</v>
      </c>
      <c r="W273" s="47" t="s">
        <v>1019</v>
      </c>
      <c r="X273" s="18"/>
      <c r="Y273" s="18"/>
      <c r="Z273" s="98"/>
      <c r="AA273" s="19"/>
      <c r="AB273" s="19"/>
      <c r="AC273" s="18"/>
    </row>
    <row r="274" spans="1:29" s="7" customFormat="1" outlineLevel="4" x14ac:dyDescent="0.25">
      <c r="A274" s="1" t="s">
        <v>5</v>
      </c>
      <c r="B274" s="1" t="s">
        <v>5</v>
      </c>
      <c r="C274" s="1" t="s">
        <v>5</v>
      </c>
      <c r="D274" s="1" t="s">
        <v>5</v>
      </c>
      <c r="E274" s="1" t="s">
        <v>4</v>
      </c>
      <c r="F274" s="13" t="s">
        <v>762</v>
      </c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U274" s="17" t="s">
        <v>783</v>
      </c>
      <c r="V274" s="18">
        <v>1</v>
      </c>
      <c r="W274" s="47" t="s">
        <v>1019</v>
      </c>
      <c r="X274" s="18"/>
      <c r="Y274" s="18"/>
      <c r="Z274" s="98"/>
      <c r="AA274" s="19"/>
      <c r="AB274" s="19"/>
      <c r="AC274" s="18"/>
    </row>
    <row r="275" spans="1:29" s="7" customFormat="1" outlineLevel="4" x14ac:dyDescent="0.25">
      <c r="A275" s="1" t="s">
        <v>5</v>
      </c>
      <c r="B275" s="1" t="s">
        <v>5</v>
      </c>
      <c r="C275" s="1" t="s">
        <v>5</v>
      </c>
      <c r="D275" s="1" t="s">
        <v>5</v>
      </c>
      <c r="E275" s="1" t="s">
        <v>4</v>
      </c>
      <c r="F275" s="13" t="s">
        <v>763</v>
      </c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U275" s="17" t="s">
        <v>784</v>
      </c>
      <c r="V275" s="18">
        <v>1</v>
      </c>
      <c r="W275" s="47" t="s">
        <v>1019</v>
      </c>
      <c r="X275" s="18"/>
      <c r="Y275" s="18"/>
      <c r="Z275" s="98"/>
      <c r="AA275" s="19"/>
      <c r="AB275" s="19"/>
      <c r="AC275" s="18"/>
    </row>
    <row r="276" spans="1:29" s="7" customFormat="1" outlineLevel="4" x14ac:dyDescent="0.25">
      <c r="A276" s="1" t="s">
        <v>5</v>
      </c>
      <c r="B276" s="1" t="s">
        <v>5</v>
      </c>
      <c r="C276" s="1" t="s">
        <v>5</v>
      </c>
      <c r="D276" s="1" t="s">
        <v>5</v>
      </c>
      <c r="E276" s="1" t="s">
        <v>4</v>
      </c>
      <c r="F276" s="13" t="s">
        <v>764</v>
      </c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U276" s="17" t="s">
        <v>785</v>
      </c>
      <c r="V276" s="18">
        <v>1</v>
      </c>
      <c r="W276" s="47" t="s">
        <v>1019</v>
      </c>
      <c r="X276" s="18"/>
      <c r="Y276" s="18"/>
      <c r="Z276" s="98"/>
      <c r="AA276" s="19"/>
      <c r="AB276" s="19"/>
      <c r="AC276" s="18"/>
    </row>
    <row r="277" spans="1:29" s="7" customFormat="1" outlineLevel="4" x14ac:dyDescent="0.25">
      <c r="A277" s="1" t="s">
        <v>5</v>
      </c>
      <c r="B277" s="1" t="s">
        <v>5</v>
      </c>
      <c r="C277" s="1" t="s">
        <v>5</v>
      </c>
      <c r="D277" s="1" t="s">
        <v>5</v>
      </c>
      <c r="E277" s="1" t="s">
        <v>4</v>
      </c>
      <c r="F277" s="13" t="s">
        <v>765</v>
      </c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U277" s="17" t="s">
        <v>786</v>
      </c>
      <c r="V277" s="18">
        <v>1</v>
      </c>
      <c r="W277" s="47" t="s">
        <v>1019</v>
      </c>
      <c r="X277" s="18"/>
      <c r="Y277" s="18"/>
      <c r="Z277" s="98"/>
      <c r="AA277" s="19"/>
      <c r="AB277" s="19"/>
      <c r="AC277" s="18"/>
    </row>
    <row r="278" spans="1:29" s="7" customFormat="1" outlineLevel="4" x14ac:dyDescent="0.25">
      <c r="A278" s="1" t="s">
        <v>5</v>
      </c>
      <c r="B278" s="1" t="s">
        <v>5</v>
      </c>
      <c r="C278" s="1" t="s">
        <v>5</v>
      </c>
      <c r="D278" s="1" t="s">
        <v>5</v>
      </c>
      <c r="E278" s="1" t="s">
        <v>4</v>
      </c>
      <c r="F278" s="13" t="s">
        <v>766</v>
      </c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U278" s="17" t="s">
        <v>787</v>
      </c>
      <c r="V278" s="18">
        <v>1</v>
      </c>
      <c r="W278" s="47" t="s">
        <v>1019</v>
      </c>
      <c r="X278" s="18"/>
      <c r="Y278" s="18"/>
      <c r="Z278" s="98"/>
      <c r="AA278" s="19"/>
      <c r="AB278" s="19"/>
      <c r="AC278" s="18"/>
    </row>
    <row r="279" spans="1:29" s="7" customFormat="1" outlineLevel="4" x14ac:dyDescent="0.25">
      <c r="A279" s="1" t="s">
        <v>5</v>
      </c>
      <c r="B279" s="1" t="s">
        <v>5</v>
      </c>
      <c r="C279" s="1" t="s">
        <v>5</v>
      </c>
      <c r="D279" s="1" t="s">
        <v>5</v>
      </c>
      <c r="E279" s="1" t="s">
        <v>4</v>
      </c>
      <c r="F279" s="13" t="s">
        <v>767</v>
      </c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U279" s="17" t="s">
        <v>788</v>
      </c>
      <c r="V279" s="18">
        <v>3</v>
      </c>
      <c r="W279" s="47" t="s">
        <v>1019</v>
      </c>
      <c r="X279" s="18"/>
      <c r="Y279" s="18"/>
      <c r="Z279" s="98"/>
      <c r="AA279" s="19"/>
      <c r="AB279" s="19"/>
      <c r="AC279" s="18"/>
    </row>
    <row r="280" spans="1:29" s="7" customFormat="1" outlineLevel="4" x14ac:dyDescent="0.25">
      <c r="A280" s="1" t="s">
        <v>5</v>
      </c>
      <c r="B280" s="1" t="s">
        <v>5</v>
      </c>
      <c r="C280" s="1" t="s">
        <v>5</v>
      </c>
      <c r="D280" s="1" t="s">
        <v>5</v>
      </c>
      <c r="E280" s="1" t="s">
        <v>4</v>
      </c>
      <c r="F280" s="13" t="s">
        <v>768</v>
      </c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U280" s="17" t="s">
        <v>789</v>
      </c>
      <c r="V280" s="18">
        <v>1</v>
      </c>
      <c r="W280" s="47" t="s">
        <v>1019</v>
      </c>
      <c r="X280" s="18"/>
      <c r="Y280" s="18"/>
      <c r="Z280" s="98"/>
      <c r="AA280" s="19"/>
      <c r="AB280" s="19"/>
      <c r="AC280" s="18"/>
    </row>
    <row r="281" spans="1:29" s="7" customFormat="1" outlineLevel="4" x14ac:dyDescent="0.25">
      <c r="A281" s="1" t="s">
        <v>5</v>
      </c>
      <c r="B281" s="1" t="s">
        <v>5</v>
      </c>
      <c r="C281" s="1" t="s">
        <v>5</v>
      </c>
      <c r="D281" s="1" t="s">
        <v>5</v>
      </c>
      <c r="E281" s="1" t="s">
        <v>4</v>
      </c>
      <c r="F281" s="13" t="s">
        <v>769</v>
      </c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U281" s="17" t="s">
        <v>790</v>
      </c>
      <c r="V281" s="18">
        <v>1</v>
      </c>
      <c r="W281" s="47" t="s">
        <v>1019</v>
      </c>
      <c r="X281" s="18"/>
      <c r="Y281" s="18"/>
      <c r="Z281" s="98"/>
      <c r="AA281" s="19"/>
      <c r="AB281" s="19"/>
      <c r="AC281" s="18"/>
    </row>
    <row r="282" spans="1:29" s="7" customFormat="1" outlineLevel="4" x14ac:dyDescent="0.25">
      <c r="A282" s="1" t="s">
        <v>5</v>
      </c>
      <c r="B282" s="1" t="s">
        <v>5</v>
      </c>
      <c r="C282" s="1" t="s">
        <v>5</v>
      </c>
      <c r="D282" s="1" t="s">
        <v>5</v>
      </c>
      <c r="E282" s="1" t="s">
        <v>4</v>
      </c>
      <c r="F282" s="13" t="s">
        <v>770</v>
      </c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U282" s="17" t="s">
        <v>791</v>
      </c>
      <c r="V282" s="18">
        <v>1</v>
      </c>
      <c r="W282" s="47" t="s">
        <v>1019</v>
      </c>
      <c r="X282" s="18"/>
      <c r="Y282" s="18"/>
      <c r="Z282" s="98"/>
      <c r="AA282" s="19"/>
      <c r="AB282" s="19"/>
      <c r="AC282" s="18"/>
    </row>
    <row r="283" spans="1:29" s="7" customFormat="1" outlineLevel="4" x14ac:dyDescent="0.25">
      <c r="A283" s="1" t="s">
        <v>5</v>
      </c>
      <c r="B283" s="1" t="s">
        <v>5</v>
      </c>
      <c r="C283" s="1" t="s">
        <v>5</v>
      </c>
      <c r="D283" s="1" t="s">
        <v>5</v>
      </c>
      <c r="E283" s="1" t="s">
        <v>4</v>
      </c>
      <c r="F283" s="13" t="s">
        <v>792</v>
      </c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U283" s="17" t="s">
        <v>793</v>
      </c>
      <c r="V283" s="18">
        <v>2</v>
      </c>
      <c r="W283" s="47" t="s">
        <v>1019</v>
      </c>
      <c r="X283" s="18"/>
      <c r="Y283" s="18"/>
      <c r="Z283" s="98"/>
      <c r="AA283" s="19"/>
      <c r="AB283" s="19"/>
      <c r="AC283" s="18"/>
    </row>
    <row r="284" spans="1:29" s="7" customFormat="1" outlineLevel="4" x14ac:dyDescent="0.25">
      <c r="A284" s="1" t="s">
        <v>5</v>
      </c>
      <c r="B284" s="1" t="s">
        <v>5</v>
      </c>
      <c r="C284" s="1" t="s">
        <v>5</v>
      </c>
      <c r="D284" s="1" t="s">
        <v>5</v>
      </c>
      <c r="E284" s="1" t="s">
        <v>4</v>
      </c>
      <c r="F284" s="13" t="s">
        <v>794</v>
      </c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U284" s="17" t="s">
        <v>795</v>
      </c>
      <c r="V284" s="18">
        <v>1</v>
      </c>
      <c r="W284" s="47" t="s">
        <v>1019</v>
      </c>
      <c r="X284" s="18"/>
      <c r="Y284" s="18"/>
      <c r="Z284" s="98"/>
      <c r="AA284" s="19"/>
      <c r="AB284" s="19"/>
      <c r="AC284" s="18"/>
    </row>
    <row r="285" spans="1:29" s="7" customFormat="1" outlineLevel="4" x14ac:dyDescent="0.25">
      <c r="A285" s="1" t="s">
        <v>5</v>
      </c>
      <c r="B285" s="1" t="s">
        <v>5</v>
      </c>
      <c r="C285" s="1" t="s">
        <v>5</v>
      </c>
      <c r="D285" s="1" t="s">
        <v>5</v>
      </c>
      <c r="E285" s="1" t="s">
        <v>4</v>
      </c>
      <c r="F285" s="13" t="s">
        <v>647</v>
      </c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U285" s="17" t="s">
        <v>685</v>
      </c>
      <c r="V285" s="18">
        <v>1</v>
      </c>
      <c r="W285" s="47" t="s">
        <v>1019</v>
      </c>
      <c r="X285" s="18"/>
      <c r="Y285" s="18"/>
      <c r="Z285" s="98"/>
      <c r="AA285" s="19"/>
      <c r="AB285" s="19"/>
      <c r="AC285" s="18"/>
    </row>
    <row r="286" spans="1:29" s="7" customFormat="1" outlineLevel="4" x14ac:dyDescent="0.25">
      <c r="A286" s="1" t="s">
        <v>5</v>
      </c>
      <c r="B286" s="1" t="s">
        <v>5</v>
      </c>
      <c r="C286" s="1" t="s">
        <v>5</v>
      </c>
      <c r="D286" s="1" t="s">
        <v>5</v>
      </c>
      <c r="E286" s="1" t="s">
        <v>4</v>
      </c>
      <c r="F286" s="13" t="s">
        <v>796</v>
      </c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U286" s="17" t="s">
        <v>797</v>
      </c>
      <c r="V286" s="18">
        <v>2</v>
      </c>
      <c r="W286" s="47" t="s">
        <v>1019</v>
      </c>
      <c r="X286" s="18"/>
      <c r="Y286" s="18"/>
      <c r="Z286" s="98"/>
      <c r="AA286" s="19"/>
      <c r="AB286" s="19"/>
      <c r="AC286" s="18"/>
    </row>
    <row r="287" spans="1:29" s="7" customFormat="1" outlineLevel="4" x14ac:dyDescent="0.25">
      <c r="A287" s="1" t="s">
        <v>5</v>
      </c>
      <c r="B287" s="1" t="s">
        <v>5</v>
      </c>
      <c r="C287" s="1" t="s">
        <v>5</v>
      </c>
      <c r="D287" s="1" t="s">
        <v>5</v>
      </c>
      <c r="E287" s="1" t="s">
        <v>4</v>
      </c>
      <c r="F287" s="13" t="s">
        <v>798</v>
      </c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U287" s="17" t="s">
        <v>799</v>
      </c>
      <c r="V287" s="18">
        <v>2</v>
      </c>
      <c r="W287" s="47" t="s">
        <v>1019</v>
      </c>
      <c r="X287" s="18"/>
      <c r="Y287" s="18"/>
      <c r="Z287" s="98"/>
      <c r="AA287" s="19"/>
      <c r="AB287" s="19"/>
      <c r="AC287" s="18"/>
    </row>
    <row r="288" spans="1:29" s="7" customFormat="1" outlineLevel="4" x14ac:dyDescent="0.25">
      <c r="A288" s="1" t="s">
        <v>5</v>
      </c>
      <c r="B288" s="1" t="s">
        <v>5</v>
      </c>
      <c r="C288" s="1" t="s">
        <v>5</v>
      </c>
      <c r="D288" s="1" t="s">
        <v>5</v>
      </c>
      <c r="E288" s="1" t="s">
        <v>4</v>
      </c>
      <c r="F288" s="13" t="s">
        <v>800</v>
      </c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U288" s="17" t="s">
        <v>801</v>
      </c>
      <c r="V288" s="18">
        <v>1</v>
      </c>
      <c r="W288" s="47" t="s">
        <v>1019</v>
      </c>
      <c r="X288" s="18"/>
      <c r="Y288" s="18"/>
      <c r="Z288" s="98"/>
      <c r="AA288" s="19"/>
      <c r="AB288" s="19"/>
      <c r="AC288" s="18"/>
    </row>
    <row r="289" spans="1:29" s="7" customFormat="1" outlineLevel="4" x14ac:dyDescent="0.25">
      <c r="A289" s="1" t="s">
        <v>5</v>
      </c>
      <c r="B289" s="1" t="s">
        <v>5</v>
      </c>
      <c r="C289" s="1" t="s">
        <v>5</v>
      </c>
      <c r="D289" s="1" t="s">
        <v>5</v>
      </c>
      <c r="E289" s="1" t="s">
        <v>4</v>
      </c>
      <c r="F289" s="13" t="s">
        <v>802</v>
      </c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U289" s="17" t="s">
        <v>803</v>
      </c>
      <c r="V289" s="18">
        <v>1</v>
      </c>
      <c r="W289" s="47" t="s">
        <v>1019</v>
      </c>
      <c r="X289" s="18"/>
      <c r="Y289" s="18"/>
      <c r="Z289" s="98"/>
      <c r="AA289" s="19"/>
      <c r="AB289" s="19"/>
      <c r="AC289" s="18"/>
    </row>
    <row r="290" spans="1:29" s="7" customFormat="1" outlineLevel="4" x14ac:dyDescent="0.25">
      <c r="A290" s="1" t="s">
        <v>5</v>
      </c>
      <c r="B290" s="1" t="s">
        <v>5</v>
      </c>
      <c r="C290" s="1" t="s">
        <v>5</v>
      </c>
      <c r="D290" s="1" t="s">
        <v>5</v>
      </c>
      <c r="E290" s="1" t="s">
        <v>4</v>
      </c>
      <c r="F290" s="13" t="s">
        <v>804</v>
      </c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U290" s="17" t="s">
        <v>805</v>
      </c>
      <c r="V290" s="18">
        <v>8</v>
      </c>
      <c r="W290" s="47" t="s">
        <v>1019</v>
      </c>
      <c r="X290" s="18"/>
      <c r="Y290" s="18"/>
      <c r="Z290" s="98"/>
      <c r="AA290" s="19"/>
      <c r="AB290" s="19"/>
      <c r="AC290" s="18"/>
    </row>
    <row r="291" spans="1:29" s="7" customFormat="1" outlineLevel="4" x14ac:dyDescent="0.25">
      <c r="A291" s="1" t="s">
        <v>5</v>
      </c>
      <c r="B291" s="1" t="s">
        <v>5</v>
      </c>
      <c r="C291" s="1" t="s">
        <v>5</v>
      </c>
      <c r="D291" s="1" t="s">
        <v>5</v>
      </c>
      <c r="E291" s="1" t="s">
        <v>4</v>
      </c>
      <c r="F291" s="13" t="s">
        <v>806</v>
      </c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U291" s="17" t="s">
        <v>807</v>
      </c>
      <c r="V291" s="18">
        <v>1</v>
      </c>
      <c r="W291" s="47" t="s">
        <v>1019</v>
      </c>
      <c r="X291" s="18"/>
      <c r="Y291" s="18"/>
      <c r="Z291" s="98"/>
      <c r="AA291" s="19"/>
      <c r="AB291" s="19"/>
      <c r="AC291" s="18"/>
    </row>
    <row r="292" spans="1:29" s="7" customFormat="1" outlineLevel="4" x14ac:dyDescent="0.25">
      <c r="A292" s="1" t="s">
        <v>5</v>
      </c>
      <c r="B292" s="1" t="s">
        <v>5</v>
      </c>
      <c r="C292" s="1" t="s">
        <v>5</v>
      </c>
      <c r="D292" s="1" t="s">
        <v>5</v>
      </c>
      <c r="E292" s="1" t="s">
        <v>4</v>
      </c>
      <c r="F292" s="13" t="s">
        <v>808</v>
      </c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U292" s="17" t="s">
        <v>809</v>
      </c>
      <c r="V292" s="18">
        <v>3</v>
      </c>
      <c r="W292" s="47" t="s">
        <v>1019</v>
      </c>
      <c r="X292" s="18"/>
      <c r="Y292" s="18"/>
      <c r="Z292" s="98"/>
      <c r="AA292" s="19"/>
      <c r="AB292" s="19"/>
      <c r="AC292" s="18"/>
    </row>
    <row r="293" spans="1:29" s="7" customFormat="1" outlineLevel="4" x14ac:dyDescent="0.25">
      <c r="A293" s="1" t="s">
        <v>5</v>
      </c>
      <c r="B293" s="1" t="s">
        <v>5</v>
      </c>
      <c r="C293" s="1" t="s">
        <v>5</v>
      </c>
      <c r="D293" s="1" t="s">
        <v>5</v>
      </c>
      <c r="E293" s="1" t="s">
        <v>4</v>
      </c>
      <c r="F293" s="13" t="s">
        <v>810</v>
      </c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U293" s="17" t="s">
        <v>811</v>
      </c>
      <c r="V293" s="18">
        <v>1</v>
      </c>
      <c r="W293" s="47" t="s">
        <v>1019</v>
      </c>
      <c r="X293" s="18"/>
      <c r="Y293" s="18"/>
      <c r="Z293" s="98"/>
      <c r="AA293" s="19"/>
      <c r="AB293" s="19"/>
      <c r="AC293" s="18"/>
    </row>
    <row r="294" spans="1:29" s="7" customFormat="1" outlineLevel="4" x14ac:dyDescent="0.25">
      <c r="A294" s="1" t="s">
        <v>5</v>
      </c>
      <c r="B294" s="1" t="s">
        <v>5</v>
      </c>
      <c r="C294" s="1" t="s">
        <v>5</v>
      </c>
      <c r="D294" s="1" t="s">
        <v>5</v>
      </c>
      <c r="E294" s="1" t="s">
        <v>4</v>
      </c>
      <c r="F294" s="13" t="s">
        <v>812</v>
      </c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U294" s="17" t="s">
        <v>813</v>
      </c>
      <c r="V294" s="18">
        <v>1</v>
      </c>
      <c r="W294" s="47" t="s">
        <v>1019</v>
      </c>
      <c r="X294" s="18"/>
      <c r="Y294" s="18"/>
      <c r="Z294" s="98"/>
      <c r="AA294" s="19"/>
      <c r="AB294" s="19"/>
      <c r="AC294" s="18"/>
    </row>
    <row r="295" spans="1:29" s="7" customFormat="1" outlineLevel="4" x14ac:dyDescent="0.25">
      <c r="A295" s="1" t="s">
        <v>5</v>
      </c>
      <c r="B295" s="1" t="s">
        <v>5</v>
      </c>
      <c r="C295" s="1" t="s">
        <v>5</v>
      </c>
      <c r="D295" s="1" t="s">
        <v>5</v>
      </c>
      <c r="E295" s="1" t="s">
        <v>4</v>
      </c>
      <c r="F295" s="13" t="s">
        <v>814</v>
      </c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U295" s="17" t="s">
        <v>815</v>
      </c>
      <c r="V295" s="18">
        <v>2</v>
      </c>
      <c r="W295" s="47" t="s">
        <v>1019</v>
      </c>
      <c r="X295" s="18"/>
      <c r="Y295" s="18"/>
      <c r="Z295" s="98"/>
      <c r="AA295" s="19"/>
      <c r="AB295" s="19"/>
      <c r="AC295" s="18"/>
    </row>
    <row r="296" spans="1:29" s="7" customFormat="1" outlineLevel="4" x14ac:dyDescent="0.25">
      <c r="A296" s="1" t="s">
        <v>5</v>
      </c>
      <c r="B296" s="1" t="s">
        <v>5</v>
      </c>
      <c r="C296" s="1" t="s">
        <v>5</v>
      </c>
      <c r="D296" s="1" t="s">
        <v>5</v>
      </c>
      <c r="E296" s="1" t="s">
        <v>4</v>
      </c>
      <c r="F296" s="13" t="s">
        <v>816</v>
      </c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U296" s="17" t="s">
        <v>817</v>
      </c>
      <c r="V296" s="18">
        <v>2</v>
      </c>
      <c r="W296" s="47" t="s">
        <v>1019</v>
      </c>
      <c r="X296" s="18"/>
      <c r="Y296" s="18"/>
      <c r="Z296" s="98"/>
      <c r="AA296" s="19"/>
      <c r="AB296" s="19"/>
      <c r="AC296" s="18"/>
    </row>
    <row r="297" spans="1:29" s="7" customFormat="1" outlineLevel="4" x14ac:dyDescent="0.25">
      <c r="A297" s="1" t="s">
        <v>5</v>
      </c>
      <c r="B297" s="1" t="s">
        <v>5</v>
      </c>
      <c r="C297" s="1" t="s">
        <v>5</v>
      </c>
      <c r="D297" s="1" t="s">
        <v>5</v>
      </c>
      <c r="E297" s="1" t="s">
        <v>4</v>
      </c>
      <c r="F297" s="13" t="s">
        <v>818</v>
      </c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U297" s="17" t="s">
        <v>819</v>
      </c>
      <c r="V297" s="18">
        <v>2</v>
      </c>
      <c r="W297" s="47" t="s">
        <v>1019</v>
      </c>
      <c r="X297" s="18"/>
      <c r="Y297" s="18"/>
      <c r="Z297" s="98"/>
      <c r="AA297" s="19"/>
      <c r="AB297" s="19"/>
      <c r="AC297" s="18"/>
    </row>
    <row r="298" spans="1:29" s="7" customFormat="1" outlineLevel="4" x14ac:dyDescent="0.25">
      <c r="A298" s="1" t="s">
        <v>5</v>
      </c>
      <c r="B298" s="1" t="s">
        <v>5</v>
      </c>
      <c r="C298" s="1" t="s">
        <v>5</v>
      </c>
      <c r="D298" s="1" t="s">
        <v>5</v>
      </c>
      <c r="E298" s="1" t="s">
        <v>4</v>
      </c>
      <c r="F298" s="13" t="s">
        <v>820</v>
      </c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U298" s="17" t="s">
        <v>821</v>
      </c>
      <c r="V298" s="18">
        <v>1</v>
      </c>
      <c r="W298" s="47" t="s">
        <v>1019</v>
      </c>
      <c r="X298" s="18"/>
      <c r="Y298" s="18"/>
      <c r="Z298" s="98"/>
      <c r="AA298" s="19"/>
      <c r="AB298" s="19"/>
      <c r="AC298" s="18"/>
    </row>
    <row r="299" spans="1:29" s="7" customFormat="1" outlineLevel="4" x14ac:dyDescent="0.25">
      <c r="A299" s="1" t="s">
        <v>5</v>
      </c>
      <c r="B299" s="1" t="s">
        <v>5</v>
      </c>
      <c r="C299" s="1" t="s">
        <v>5</v>
      </c>
      <c r="D299" s="1" t="s">
        <v>5</v>
      </c>
      <c r="E299" s="1" t="s">
        <v>4</v>
      </c>
      <c r="F299" s="13" t="s">
        <v>822</v>
      </c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U299" s="17" t="s">
        <v>823</v>
      </c>
      <c r="V299" s="18">
        <v>1</v>
      </c>
      <c r="W299" s="47" t="s">
        <v>1019</v>
      </c>
      <c r="X299" s="18"/>
      <c r="Y299" s="18"/>
      <c r="Z299" s="98"/>
      <c r="AA299" s="19"/>
      <c r="AB299" s="19"/>
      <c r="AC299" s="18"/>
    </row>
    <row r="300" spans="1:29" s="7" customFormat="1" outlineLevel="4" x14ac:dyDescent="0.25">
      <c r="A300" s="1" t="s">
        <v>5</v>
      </c>
      <c r="B300" s="1" t="s">
        <v>5</v>
      </c>
      <c r="C300" s="1" t="s">
        <v>5</v>
      </c>
      <c r="D300" s="1" t="s">
        <v>5</v>
      </c>
      <c r="E300" s="1" t="s">
        <v>4</v>
      </c>
      <c r="F300" s="13" t="s">
        <v>824</v>
      </c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U300" s="17" t="s">
        <v>825</v>
      </c>
      <c r="V300" s="18">
        <v>10</v>
      </c>
      <c r="W300" s="47" t="s">
        <v>1019</v>
      </c>
      <c r="X300" s="18"/>
      <c r="Y300" s="18"/>
      <c r="Z300" s="98"/>
      <c r="AA300" s="19"/>
      <c r="AB300" s="19"/>
      <c r="AC300" s="18"/>
    </row>
    <row r="301" spans="1:29" s="7" customFormat="1" outlineLevel="4" x14ac:dyDescent="0.25">
      <c r="A301" s="1" t="s">
        <v>5</v>
      </c>
      <c r="B301" s="1" t="s">
        <v>5</v>
      </c>
      <c r="C301" s="1" t="s">
        <v>5</v>
      </c>
      <c r="D301" s="1" t="s">
        <v>5</v>
      </c>
      <c r="E301" s="1" t="s">
        <v>4</v>
      </c>
      <c r="F301" s="13" t="s">
        <v>826</v>
      </c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U301" s="17" t="s">
        <v>827</v>
      </c>
      <c r="V301" s="18">
        <v>6</v>
      </c>
      <c r="W301" s="47" t="s">
        <v>1019</v>
      </c>
      <c r="X301" s="18"/>
      <c r="Y301" s="18"/>
      <c r="Z301" s="98"/>
      <c r="AA301" s="19"/>
      <c r="AB301" s="19"/>
      <c r="AC301" s="18"/>
    </row>
    <row r="302" spans="1:29" s="7" customFormat="1" outlineLevel="4" x14ac:dyDescent="0.25">
      <c r="A302" s="1" t="s">
        <v>5</v>
      </c>
      <c r="B302" s="1" t="s">
        <v>5</v>
      </c>
      <c r="C302" s="1" t="s">
        <v>5</v>
      </c>
      <c r="D302" s="1" t="s">
        <v>5</v>
      </c>
      <c r="E302" s="1" t="s">
        <v>4</v>
      </c>
      <c r="F302" s="13" t="s">
        <v>828</v>
      </c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U302" s="17" t="s">
        <v>846</v>
      </c>
      <c r="V302" s="18">
        <v>6</v>
      </c>
      <c r="W302" s="47" t="s">
        <v>1019</v>
      </c>
      <c r="X302" s="18"/>
      <c r="Y302" s="18"/>
      <c r="Z302" s="98"/>
      <c r="AA302" s="19"/>
      <c r="AB302" s="19"/>
      <c r="AC302" s="18"/>
    </row>
    <row r="303" spans="1:29" s="7" customFormat="1" outlineLevel="4" x14ac:dyDescent="0.25">
      <c r="A303" s="1" t="s">
        <v>5</v>
      </c>
      <c r="B303" s="1" t="s">
        <v>5</v>
      </c>
      <c r="C303" s="1" t="s">
        <v>5</v>
      </c>
      <c r="D303" s="1" t="s">
        <v>5</v>
      </c>
      <c r="E303" s="1" t="s">
        <v>4</v>
      </c>
      <c r="F303" s="13" t="s">
        <v>829</v>
      </c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U303" s="17" t="s">
        <v>847</v>
      </c>
      <c r="V303" s="18">
        <v>14</v>
      </c>
      <c r="W303" s="47" t="s">
        <v>1019</v>
      </c>
      <c r="X303" s="18"/>
      <c r="Y303" s="18"/>
      <c r="Z303" s="98"/>
      <c r="AA303" s="19"/>
      <c r="AB303" s="19"/>
      <c r="AC303" s="18"/>
    </row>
    <row r="304" spans="1:29" s="7" customFormat="1" outlineLevel="4" x14ac:dyDescent="0.25">
      <c r="A304" s="1" t="s">
        <v>5</v>
      </c>
      <c r="B304" s="1" t="s">
        <v>5</v>
      </c>
      <c r="C304" s="1" t="s">
        <v>5</v>
      </c>
      <c r="D304" s="1" t="s">
        <v>5</v>
      </c>
      <c r="E304" s="1" t="s">
        <v>4</v>
      </c>
      <c r="F304" s="13" t="s">
        <v>830</v>
      </c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U304" s="17" t="s">
        <v>848</v>
      </c>
      <c r="V304" s="18">
        <v>9</v>
      </c>
      <c r="W304" s="47" t="s">
        <v>1019</v>
      </c>
      <c r="X304" s="18"/>
      <c r="Y304" s="18"/>
      <c r="Z304" s="98"/>
      <c r="AA304" s="19"/>
      <c r="AB304" s="19"/>
      <c r="AC304" s="18"/>
    </row>
    <row r="305" spans="1:29" s="7" customFormat="1" outlineLevel="4" x14ac:dyDescent="0.25">
      <c r="A305" s="1" t="s">
        <v>5</v>
      </c>
      <c r="B305" s="1" t="s">
        <v>5</v>
      </c>
      <c r="C305" s="1" t="s">
        <v>5</v>
      </c>
      <c r="D305" s="1" t="s">
        <v>5</v>
      </c>
      <c r="E305" s="1" t="s">
        <v>4</v>
      </c>
      <c r="F305" s="13" t="s">
        <v>831</v>
      </c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U305" s="17" t="s">
        <v>849</v>
      </c>
      <c r="V305" s="18">
        <v>1</v>
      </c>
      <c r="W305" s="47" t="s">
        <v>1019</v>
      </c>
      <c r="X305" s="18"/>
      <c r="Y305" s="18"/>
      <c r="Z305" s="98"/>
      <c r="AA305" s="19"/>
      <c r="AB305" s="19"/>
      <c r="AC305" s="18"/>
    </row>
    <row r="306" spans="1:29" s="7" customFormat="1" outlineLevel="4" x14ac:dyDescent="0.25">
      <c r="A306" s="1" t="s">
        <v>5</v>
      </c>
      <c r="B306" s="1" t="s">
        <v>5</v>
      </c>
      <c r="C306" s="1" t="s">
        <v>5</v>
      </c>
      <c r="D306" s="1" t="s">
        <v>5</v>
      </c>
      <c r="E306" s="1" t="s">
        <v>4</v>
      </c>
      <c r="F306" s="13" t="s">
        <v>832</v>
      </c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U306" s="17" t="s">
        <v>506</v>
      </c>
      <c r="V306" s="18">
        <v>1</v>
      </c>
      <c r="W306" s="47" t="s">
        <v>1019</v>
      </c>
      <c r="X306" s="18"/>
      <c r="Y306" s="18"/>
      <c r="Z306" s="98"/>
      <c r="AA306" s="19"/>
      <c r="AB306" s="19"/>
      <c r="AC306" s="18"/>
    </row>
    <row r="307" spans="1:29" s="7" customFormat="1" outlineLevel="4" x14ac:dyDescent="0.25">
      <c r="A307" s="1" t="s">
        <v>5</v>
      </c>
      <c r="B307" s="1" t="s">
        <v>5</v>
      </c>
      <c r="C307" s="1" t="s">
        <v>5</v>
      </c>
      <c r="D307" s="1" t="s">
        <v>5</v>
      </c>
      <c r="E307" s="1" t="s">
        <v>4</v>
      </c>
      <c r="F307" s="13" t="s">
        <v>833</v>
      </c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U307" s="17" t="s">
        <v>850</v>
      </c>
      <c r="V307" s="18">
        <v>5</v>
      </c>
      <c r="W307" s="47" t="s">
        <v>1019</v>
      </c>
      <c r="X307" s="18"/>
      <c r="Y307" s="18"/>
      <c r="Z307" s="98"/>
      <c r="AA307" s="19"/>
      <c r="AB307" s="19"/>
      <c r="AC307" s="18"/>
    </row>
    <row r="308" spans="1:29" s="7" customFormat="1" outlineLevel="4" x14ac:dyDescent="0.25">
      <c r="A308" s="1" t="s">
        <v>5</v>
      </c>
      <c r="B308" s="1" t="s">
        <v>5</v>
      </c>
      <c r="C308" s="1" t="s">
        <v>5</v>
      </c>
      <c r="D308" s="1" t="s">
        <v>5</v>
      </c>
      <c r="E308" s="1" t="s">
        <v>4</v>
      </c>
      <c r="F308" s="13" t="s">
        <v>834</v>
      </c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U308" s="17" t="s">
        <v>498</v>
      </c>
      <c r="V308" s="18">
        <v>4</v>
      </c>
      <c r="W308" s="47" t="s">
        <v>1019</v>
      </c>
      <c r="X308" s="18"/>
      <c r="Y308" s="18"/>
      <c r="Z308" s="98"/>
      <c r="AA308" s="19"/>
      <c r="AB308" s="19"/>
      <c r="AC308" s="18"/>
    </row>
    <row r="309" spans="1:29" s="7" customFormat="1" outlineLevel="4" x14ac:dyDescent="0.25">
      <c r="A309" s="1" t="s">
        <v>5</v>
      </c>
      <c r="B309" s="1" t="s">
        <v>5</v>
      </c>
      <c r="C309" s="1" t="s">
        <v>5</v>
      </c>
      <c r="D309" s="1" t="s">
        <v>5</v>
      </c>
      <c r="E309" s="1" t="s">
        <v>4</v>
      </c>
      <c r="F309" s="13" t="s">
        <v>835</v>
      </c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U309" s="17" t="s">
        <v>851</v>
      </c>
      <c r="V309" s="18">
        <v>3</v>
      </c>
      <c r="W309" s="47" t="s">
        <v>1019</v>
      </c>
      <c r="X309" s="18"/>
      <c r="Y309" s="18"/>
      <c r="Z309" s="98"/>
      <c r="AA309" s="19"/>
      <c r="AB309" s="19"/>
      <c r="AC309" s="18"/>
    </row>
    <row r="310" spans="1:29" s="7" customFormat="1" outlineLevel="4" x14ac:dyDescent="0.25">
      <c r="A310" s="1" t="s">
        <v>5</v>
      </c>
      <c r="B310" s="1" t="s">
        <v>5</v>
      </c>
      <c r="C310" s="1" t="s">
        <v>5</v>
      </c>
      <c r="D310" s="1" t="s">
        <v>5</v>
      </c>
      <c r="E310" s="1" t="s">
        <v>4</v>
      </c>
      <c r="F310" s="13" t="s">
        <v>836</v>
      </c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U310" s="17" t="s">
        <v>852</v>
      </c>
      <c r="V310" s="18">
        <v>1</v>
      </c>
      <c r="W310" s="47" t="s">
        <v>1019</v>
      </c>
      <c r="X310" s="18"/>
      <c r="Y310" s="18"/>
      <c r="Z310" s="98"/>
      <c r="AA310" s="19"/>
      <c r="AB310" s="19"/>
      <c r="AC310" s="18"/>
    </row>
    <row r="311" spans="1:29" s="7" customFormat="1" outlineLevel="4" x14ac:dyDescent="0.25">
      <c r="A311" s="1" t="s">
        <v>5</v>
      </c>
      <c r="B311" s="1" t="s">
        <v>5</v>
      </c>
      <c r="C311" s="1" t="s">
        <v>5</v>
      </c>
      <c r="D311" s="1" t="s">
        <v>5</v>
      </c>
      <c r="E311" s="1" t="s">
        <v>4</v>
      </c>
      <c r="F311" s="13" t="s">
        <v>837</v>
      </c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U311" s="17" t="s">
        <v>853</v>
      </c>
      <c r="V311" s="18">
        <v>1</v>
      </c>
      <c r="W311" s="47" t="s">
        <v>1019</v>
      </c>
      <c r="X311" s="18"/>
      <c r="Y311" s="18"/>
      <c r="Z311" s="98"/>
      <c r="AA311" s="19"/>
      <c r="AB311" s="19"/>
      <c r="AC311" s="18"/>
    </row>
    <row r="312" spans="1:29" s="7" customFormat="1" outlineLevel="4" x14ac:dyDescent="0.25">
      <c r="A312" s="1" t="s">
        <v>5</v>
      </c>
      <c r="B312" s="1" t="s">
        <v>5</v>
      </c>
      <c r="C312" s="1" t="s">
        <v>5</v>
      </c>
      <c r="D312" s="1" t="s">
        <v>5</v>
      </c>
      <c r="E312" s="1" t="s">
        <v>4</v>
      </c>
      <c r="F312" s="13" t="s">
        <v>838</v>
      </c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U312" s="17" t="s">
        <v>854</v>
      </c>
      <c r="V312" s="18">
        <v>1</v>
      </c>
      <c r="W312" s="47" t="s">
        <v>1019</v>
      </c>
      <c r="X312" s="18"/>
      <c r="Y312" s="18"/>
      <c r="Z312" s="98"/>
      <c r="AA312" s="19"/>
      <c r="AB312" s="19"/>
      <c r="AC312" s="18"/>
    </row>
    <row r="313" spans="1:29" s="7" customFormat="1" outlineLevel="4" x14ac:dyDescent="0.25">
      <c r="A313" s="1" t="s">
        <v>5</v>
      </c>
      <c r="B313" s="1" t="s">
        <v>5</v>
      </c>
      <c r="C313" s="1" t="s">
        <v>5</v>
      </c>
      <c r="D313" s="1" t="s">
        <v>5</v>
      </c>
      <c r="E313" s="1" t="s">
        <v>4</v>
      </c>
      <c r="F313" s="13" t="s">
        <v>839</v>
      </c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U313" s="17" t="s">
        <v>855</v>
      </c>
      <c r="V313" s="18">
        <v>1</v>
      </c>
      <c r="W313" s="47" t="s">
        <v>1019</v>
      </c>
      <c r="X313" s="18"/>
      <c r="Y313" s="18"/>
      <c r="Z313" s="98"/>
      <c r="AA313" s="19"/>
      <c r="AB313" s="19"/>
      <c r="AC313" s="18"/>
    </row>
    <row r="314" spans="1:29" s="7" customFormat="1" outlineLevel="4" x14ac:dyDescent="0.25">
      <c r="A314" s="1" t="s">
        <v>5</v>
      </c>
      <c r="B314" s="1" t="s">
        <v>5</v>
      </c>
      <c r="C314" s="1" t="s">
        <v>5</v>
      </c>
      <c r="D314" s="1" t="s">
        <v>5</v>
      </c>
      <c r="E314" s="1" t="s">
        <v>4</v>
      </c>
      <c r="F314" s="13" t="s">
        <v>840</v>
      </c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U314" s="17" t="s">
        <v>856</v>
      </c>
      <c r="V314" s="18">
        <v>2</v>
      </c>
      <c r="W314" s="47" t="s">
        <v>1019</v>
      </c>
      <c r="X314" s="18"/>
      <c r="Y314" s="18"/>
      <c r="Z314" s="98"/>
      <c r="AA314" s="19"/>
      <c r="AB314" s="19"/>
      <c r="AC314" s="18"/>
    </row>
    <row r="315" spans="1:29" s="7" customFormat="1" outlineLevel="4" x14ac:dyDescent="0.25">
      <c r="A315" s="1" t="s">
        <v>5</v>
      </c>
      <c r="B315" s="1" t="s">
        <v>5</v>
      </c>
      <c r="C315" s="1" t="s">
        <v>5</v>
      </c>
      <c r="D315" s="1" t="s">
        <v>5</v>
      </c>
      <c r="E315" s="1" t="s">
        <v>4</v>
      </c>
      <c r="F315" s="13" t="s">
        <v>841</v>
      </c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U315" s="17" t="s">
        <v>857</v>
      </c>
      <c r="V315" s="18">
        <v>2</v>
      </c>
      <c r="W315" s="47" t="s">
        <v>1019</v>
      </c>
      <c r="X315" s="18"/>
      <c r="Y315" s="18"/>
      <c r="Z315" s="98"/>
      <c r="AA315" s="19"/>
      <c r="AB315" s="19"/>
      <c r="AC315" s="18"/>
    </row>
    <row r="316" spans="1:29" s="7" customFormat="1" outlineLevel="4" x14ac:dyDescent="0.25">
      <c r="A316" s="1" t="s">
        <v>5</v>
      </c>
      <c r="B316" s="1" t="s">
        <v>5</v>
      </c>
      <c r="C316" s="1" t="s">
        <v>5</v>
      </c>
      <c r="D316" s="1" t="s">
        <v>5</v>
      </c>
      <c r="E316" s="1" t="s">
        <v>4</v>
      </c>
      <c r="F316" s="13" t="s">
        <v>842</v>
      </c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U316" s="17" t="s">
        <v>858</v>
      </c>
      <c r="V316" s="18">
        <v>5</v>
      </c>
      <c r="W316" s="47" t="s">
        <v>1019</v>
      </c>
      <c r="X316" s="18"/>
      <c r="Y316" s="18"/>
      <c r="Z316" s="98"/>
      <c r="AA316" s="19"/>
      <c r="AB316" s="19"/>
      <c r="AC316" s="18"/>
    </row>
    <row r="317" spans="1:29" s="7" customFormat="1" outlineLevel="4" x14ac:dyDescent="0.25">
      <c r="A317" s="1" t="s">
        <v>5</v>
      </c>
      <c r="B317" s="1" t="s">
        <v>5</v>
      </c>
      <c r="C317" s="1" t="s">
        <v>5</v>
      </c>
      <c r="D317" s="1" t="s">
        <v>5</v>
      </c>
      <c r="E317" s="1" t="s">
        <v>4</v>
      </c>
      <c r="F317" s="13" t="s">
        <v>843</v>
      </c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U317" s="17" t="s">
        <v>859</v>
      </c>
      <c r="V317" s="18">
        <v>1</v>
      </c>
      <c r="W317" s="47" t="s">
        <v>1019</v>
      </c>
      <c r="X317" s="18"/>
      <c r="Y317" s="18"/>
      <c r="Z317" s="98"/>
      <c r="AA317" s="19"/>
      <c r="AB317" s="19"/>
      <c r="AC317" s="18"/>
    </row>
    <row r="318" spans="1:29" s="7" customFormat="1" outlineLevel="4" x14ac:dyDescent="0.25">
      <c r="A318" s="1" t="s">
        <v>5</v>
      </c>
      <c r="B318" s="1" t="s">
        <v>5</v>
      </c>
      <c r="C318" s="1" t="s">
        <v>5</v>
      </c>
      <c r="D318" s="1" t="s">
        <v>5</v>
      </c>
      <c r="E318" s="1" t="s">
        <v>4</v>
      </c>
      <c r="F318" s="13" t="s">
        <v>844</v>
      </c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U318" s="17" t="s">
        <v>860</v>
      </c>
      <c r="V318" s="18">
        <v>1</v>
      </c>
      <c r="W318" s="47" t="s">
        <v>1019</v>
      </c>
      <c r="X318" s="18"/>
      <c r="Y318" s="18"/>
      <c r="Z318" s="98"/>
      <c r="AA318" s="19"/>
      <c r="AB318" s="19"/>
      <c r="AC318" s="18"/>
    </row>
    <row r="319" spans="1:29" s="7" customFormat="1" outlineLevel="4" x14ac:dyDescent="0.25">
      <c r="A319" s="1" t="s">
        <v>5</v>
      </c>
      <c r="B319" s="1" t="s">
        <v>5</v>
      </c>
      <c r="C319" s="1" t="s">
        <v>5</v>
      </c>
      <c r="D319" s="1" t="s">
        <v>5</v>
      </c>
      <c r="E319" s="1" t="s">
        <v>4</v>
      </c>
      <c r="F319" s="13" t="s">
        <v>845</v>
      </c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U319" s="17" t="s">
        <v>861</v>
      </c>
      <c r="V319" s="18">
        <v>2</v>
      </c>
      <c r="W319" s="47" t="s">
        <v>1019</v>
      </c>
      <c r="X319" s="18"/>
      <c r="Y319" s="18"/>
      <c r="Z319" s="98"/>
      <c r="AA319" s="19"/>
      <c r="AB319" s="19"/>
      <c r="AC319" s="18"/>
    </row>
    <row r="320" spans="1:29" s="7" customFormat="1" outlineLevel="4" x14ac:dyDescent="0.25">
      <c r="A320" s="1" t="s">
        <v>5</v>
      </c>
      <c r="B320" s="1" t="s">
        <v>5</v>
      </c>
      <c r="C320" s="1" t="s">
        <v>5</v>
      </c>
      <c r="D320" s="1" t="s">
        <v>5</v>
      </c>
      <c r="E320" s="1" t="s">
        <v>4</v>
      </c>
      <c r="F320" s="13" t="s">
        <v>862</v>
      </c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U320" s="17" t="s">
        <v>876</v>
      </c>
      <c r="V320" s="18">
        <v>1</v>
      </c>
      <c r="W320" s="47" t="s">
        <v>1019</v>
      </c>
      <c r="X320" s="18"/>
      <c r="Y320" s="18"/>
      <c r="Z320" s="98"/>
      <c r="AA320" s="19"/>
      <c r="AB320" s="19"/>
      <c r="AC320" s="18"/>
    </row>
    <row r="321" spans="1:29" s="7" customFormat="1" outlineLevel="4" x14ac:dyDescent="0.25">
      <c r="A321" s="1" t="s">
        <v>5</v>
      </c>
      <c r="B321" s="1" t="s">
        <v>5</v>
      </c>
      <c r="C321" s="1" t="s">
        <v>5</v>
      </c>
      <c r="D321" s="1" t="s">
        <v>5</v>
      </c>
      <c r="E321" s="1" t="s">
        <v>4</v>
      </c>
      <c r="F321" s="13" t="s">
        <v>863</v>
      </c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U321" s="17" t="s">
        <v>877</v>
      </c>
      <c r="V321" s="18">
        <v>2</v>
      </c>
      <c r="W321" s="47" t="s">
        <v>1019</v>
      </c>
      <c r="X321" s="18"/>
      <c r="Y321" s="18"/>
      <c r="Z321" s="98"/>
      <c r="AA321" s="19"/>
      <c r="AB321" s="19"/>
      <c r="AC321" s="18"/>
    </row>
    <row r="322" spans="1:29" s="7" customFormat="1" outlineLevel="4" x14ac:dyDescent="0.25">
      <c r="A322" s="1" t="s">
        <v>5</v>
      </c>
      <c r="B322" s="1" t="s">
        <v>5</v>
      </c>
      <c r="C322" s="1" t="s">
        <v>5</v>
      </c>
      <c r="D322" s="1" t="s">
        <v>5</v>
      </c>
      <c r="E322" s="1" t="s">
        <v>4</v>
      </c>
      <c r="F322" s="13" t="s">
        <v>864</v>
      </c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U322" s="17" t="s">
        <v>878</v>
      </c>
      <c r="V322" s="18">
        <v>1</v>
      </c>
      <c r="W322" s="47" t="s">
        <v>1019</v>
      </c>
      <c r="X322" s="18"/>
      <c r="Y322" s="18"/>
      <c r="Z322" s="98"/>
      <c r="AA322" s="19"/>
      <c r="AB322" s="19"/>
      <c r="AC322" s="18"/>
    </row>
    <row r="323" spans="1:29" s="7" customFormat="1" outlineLevel="4" x14ac:dyDescent="0.25">
      <c r="A323" s="1" t="s">
        <v>5</v>
      </c>
      <c r="B323" s="1" t="s">
        <v>5</v>
      </c>
      <c r="C323" s="1" t="s">
        <v>5</v>
      </c>
      <c r="D323" s="1" t="s">
        <v>5</v>
      </c>
      <c r="E323" s="1" t="s">
        <v>4</v>
      </c>
      <c r="F323" s="13" t="s">
        <v>865</v>
      </c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U323" s="17" t="s">
        <v>879</v>
      </c>
      <c r="V323" s="18">
        <v>2</v>
      </c>
      <c r="W323" s="47" t="s">
        <v>1019</v>
      </c>
      <c r="X323" s="18"/>
      <c r="Y323" s="18"/>
      <c r="Z323" s="98"/>
      <c r="AA323" s="19"/>
      <c r="AB323" s="19"/>
      <c r="AC323" s="18"/>
    </row>
    <row r="324" spans="1:29" s="7" customFormat="1" outlineLevel="4" x14ac:dyDescent="0.25">
      <c r="A324" s="1" t="s">
        <v>5</v>
      </c>
      <c r="B324" s="1" t="s">
        <v>5</v>
      </c>
      <c r="C324" s="1" t="s">
        <v>5</v>
      </c>
      <c r="D324" s="1" t="s">
        <v>5</v>
      </c>
      <c r="E324" s="1" t="s">
        <v>4</v>
      </c>
      <c r="F324" s="13" t="s">
        <v>866</v>
      </c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U324" s="17" t="s">
        <v>880</v>
      </c>
      <c r="V324" s="18">
        <v>2</v>
      </c>
      <c r="W324" s="47" t="s">
        <v>1019</v>
      </c>
      <c r="X324" s="18"/>
      <c r="Y324" s="18"/>
      <c r="Z324" s="98"/>
      <c r="AA324" s="19"/>
      <c r="AB324" s="19"/>
      <c r="AC324" s="18"/>
    </row>
    <row r="325" spans="1:29" s="7" customFormat="1" outlineLevel="4" x14ac:dyDescent="0.25">
      <c r="A325" s="1" t="s">
        <v>5</v>
      </c>
      <c r="B325" s="1" t="s">
        <v>5</v>
      </c>
      <c r="C325" s="1" t="s">
        <v>5</v>
      </c>
      <c r="D325" s="1" t="s">
        <v>5</v>
      </c>
      <c r="E325" s="1" t="s">
        <v>4</v>
      </c>
      <c r="F325" s="13" t="s">
        <v>867</v>
      </c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U325" s="17" t="s">
        <v>881</v>
      </c>
      <c r="V325" s="18">
        <v>1</v>
      </c>
      <c r="W325" s="47" t="s">
        <v>1019</v>
      </c>
      <c r="X325" s="18"/>
      <c r="Y325" s="18"/>
      <c r="Z325" s="98"/>
      <c r="AA325" s="19"/>
      <c r="AB325" s="19"/>
      <c r="AC325" s="18"/>
    </row>
    <row r="326" spans="1:29" s="7" customFormat="1" outlineLevel="4" x14ac:dyDescent="0.25">
      <c r="A326" s="1" t="s">
        <v>5</v>
      </c>
      <c r="B326" s="1" t="s">
        <v>5</v>
      </c>
      <c r="C326" s="1" t="s">
        <v>5</v>
      </c>
      <c r="D326" s="1" t="s">
        <v>5</v>
      </c>
      <c r="E326" s="1" t="s">
        <v>4</v>
      </c>
      <c r="F326" s="13" t="s">
        <v>255</v>
      </c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U326" s="17" t="s">
        <v>256</v>
      </c>
      <c r="V326" s="18">
        <v>2</v>
      </c>
      <c r="W326" s="47" t="s">
        <v>1019</v>
      </c>
      <c r="X326" s="18"/>
      <c r="Y326" s="18"/>
      <c r="Z326" s="98"/>
      <c r="AA326" s="19"/>
      <c r="AB326" s="19"/>
      <c r="AC326" s="18"/>
    </row>
    <row r="327" spans="1:29" s="7" customFormat="1" outlineLevel="4" x14ac:dyDescent="0.25">
      <c r="A327" s="1" t="s">
        <v>5</v>
      </c>
      <c r="B327" s="1" t="s">
        <v>5</v>
      </c>
      <c r="C327" s="1" t="s">
        <v>5</v>
      </c>
      <c r="D327" s="1" t="s">
        <v>5</v>
      </c>
      <c r="E327" s="1" t="s">
        <v>4</v>
      </c>
      <c r="F327" s="13" t="s">
        <v>868</v>
      </c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U327" s="17" t="s">
        <v>502</v>
      </c>
      <c r="V327" s="18">
        <v>2</v>
      </c>
      <c r="W327" s="47" t="s">
        <v>1019</v>
      </c>
      <c r="X327" s="18"/>
      <c r="Y327" s="18"/>
      <c r="Z327" s="98"/>
      <c r="AA327" s="19"/>
      <c r="AB327" s="19"/>
      <c r="AC327" s="18"/>
    </row>
    <row r="328" spans="1:29" s="7" customFormat="1" outlineLevel="4" x14ac:dyDescent="0.25">
      <c r="A328" s="1" t="s">
        <v>5</v>
      </c>
      <c r="B328" s="1" t="s">
        <v>5</v>
      </c>
      <c r="C328" s="1" t="s">
        <v>5</v>
      </c>
      <c r="D328" s="1" t="s">
        <v>5</v>
      </c>
      <c r="E328" s="1" t="s">
        <v>4</v>
      </c>
      <c r="F328" s="13" t="s">
        <v>869</v>
      </c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U328" s="17" t="s">
        <v>882</v>
      </c>
      <c r="V328" s="18">
        <v>1</v>
      </c>
      <c r="W328" s="47" t="s">
        <v>1019</v>
      </c>
      <c r="X328" s="18"/>
      <c r="Y328" s="18"/>
      <c r="Z328" s="98"/>
      <c r="AA328" s="19"/>
      <c r="AB328" s="19"/>
      <c r="AC328" s="18"/>
    </row>
    <row r="329" spans="1:29" s="7" customFormat="1" outlineLevel="4" x14ac:dyDescent="0.25">
      <c r="A329" s="1" t="s">
        <v>5</v>
      </c>
      <c r="B329" s="1" t="s">
        <v>5</v>
      </c>
      <c r="C329" s="1" t="s">
        <v>5</v>
      </c>
      <c r="D329" s="1" t="s">
        <v>5</v>
      </c>
      <c r="E329" s="1" t="s">
        <v>4</v>
      </c>
      <c r="F329" s="13" t="s">
        <v>870</v>
      </c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U329" s="17" t="s">
        <v>883</v>
      </c>
      <c r="V329" s="18">
        <v>1</v>
      </c>
      <c r="W329" s="47" t="s">
        <v>1019</v>
      </c>
      <c r="X329" s="18"/>
      <c r="Y329" s="18"/>
      <c r="Z329" s="98"/>
      <c r="AA329" s="19"/>
      <c r="AB329" s="19"/>
      <c r="AC329" s="18"/>
    </row>
    <row r="330" spans="1:29" s="7" customFormat="1" outlineLevel="4" x14ac:dyDescent="0.25">
      <c r="A330" s="1" t="s">
        <v>5</v>
      </c>
      <c r="B330" s="1" t="s">
        <v>5</v>
      </c>
      <c r="C330" s="1" t="s">
        <v>5</v>
      </c>
      <c r="D330" s="1" t="s">
        <v>5</v>
      </c>
      <c r="E330" s="1" t="s">
        <v>4</v>
      </c>
      <c r="F330" s="13" t="s">
        <v>871</v>
      </c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U330" s="17" t="s">
        <v>884</v>
      </c>
      <c r="V330" s="18">
        <v>1</v>
      </c>
      <c r="W330" s="47" t="s">
        <v>1019</v>
      </c>
      <c r="X330" s="18"/>
      <c r="Y330" s="18"/>
      <c r="Z330" s="98"/>
      <c r="AA330" s="19"/>
      <c r="AB330" s="19"/>
      <c r="AC330" s="18"/>
    </row>
    <row r="331" spans="1:29" s="7" customFormat="1" outlineLevel="4" x14ac:dyDescent="0.25">
      <c r="A331" s="1" t="s">
        <v>5</v>
      </c>
      <c r="B331" s="1" t="s">
        <v>5</v>
      </c>
      <c r="C331" s="1" t="s">
        <v>5</v>
      </c>
      <c r="D331" s="1" t="s">
        <v>5</v>
      </c>
      <c r="E331" s="1" t="s">
        <v>4</v>
      </c>
      <c r="F331" s="13" t="s">
        <v>660</v>
      </c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U331" s="17" t="s">
        <v>699</v>
      </c>
      <c r="V331" s="18">
        <v>12</v>
      </c>
      <c r="W331" s="47" t="s">
        <v>1019</v>
      </c>
      <c r="X331" s="18"/>
      <c r="Y331" s="18"/>
      <c r="Z331" s="98"/>
      <c r="AA331" s="19"/>
      <c r="AB331" s="19"/>
      <c r="AC331" s="18"/>
    </row>
    <row r="332" spans="1:29" s="7" customFormat="1" outlineLevel="4" x14ac:dyDescent="0.25">
      <c r="A332" s="1" t="s">
        <v>5</v>
      </c>
      <c r="B332" s="1" t="s">
        <v>5</v>
      </c>
      <c r="C332" s="1" t="s">
        <v>5</v>
      </c>
      <c r="D332" s="1" t="s">
        <v>5</v>
      </c>
      <c r="E332" s="1" t="s">
        <v>4</v>
      </c>
      <c r="F332" s="13" t="s">
        <v>872</v>
      </c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U332" s="17" t="s">
        <v>885</v>
      </c>
      <c r="V332" s="18">
        <v>2</v>
      </c>
      <c r="W332" s="47" t="s">
        <v>1019</v>
      </c>
      <c r="X332" s="18"/>
      <c r="Y332" s="18"/>
      <c r="Z332" s="98"/>
      <c r="AA332" s="19"/>
      <c r="AB332" s="19"/>
      <c r="AC332" s="18"/>
    </row>
    <row r="333" spans="1:29" s="7" customFormat="1" outlineLevel="4" x14ac:dyDescent="0.25">
      <c r="A333" s="1" t="s">
        <v>5</v>
      </c>
      <c r="B333" s="1" t="s">
        <v>5</v>
      </c>
      <c r="C333" s="1" t="s">
        <v>5</v>
      </c>
      <c r="D333" s="1" t="s">
        <v>5</v>
      </c>
      <c r="E333" s="1" t="s">
        <v>4</v>
      </c>
      <c r="F333" s="13" t="s">
        <v>873</v>
      </c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U333" s="17" t="s">
        <v>886</v>
      </c>
      <c r="V333" s="18">
        <v>15</v>
      </c>
      <c r="W333" s="47" t="s">
        <v>1019</v>
      </c>
      <c r="X333" s="18"/>
      <c r="Y333" s="18"/>
      <c r="Z333" s="98"/>
      <c r="AA333" s="19"/>
      <c r="AB333" s="19"/>
      <c r="AC333" s="18"/>
    </row>
    <row r="334" spans="1:29" s="7" customFormat="1" outlineLevel="4" x14ac:dyDescent="0.25">
      <c r="A334" s="1" t="s">
        <v>5</v>
      </c>
      <c r="B334" s="1" t="s">
        <v>5</v>
      </c>
      <c r="C334" s="1" t="s">
        <v>5</v>
      </c>
      <c r="D334" s="1" t="s">
        <v>5</v>
      </c>
      <c r="E334" s="1" t="s">
        <v>4</v>
      </c>
      <c r="F334" s="13" t="s">
        <v>874</v>
      </c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U334" s="17" t="s">
        <v>887</v>
      </c>
      <c r="V334" s="18">
        <v>1</v>
      </c>
      <c r="W334" s="47" t="s">
        <v>1019</v>
      </c>
      <c r="X334" s="18"/>
      <c r="Y334" s="18"/>
      <c r="Z334" s="98"/>
      <c r="AA334" s="19"/>
      <c r="AB334" s="19"/>
      <c r="AC334" s="18"/>
    </row>
    <row r="335" spans="1:29" s="7" customFormat="1" outlineLevel="4" x14ac:dyDescent="0.25">
      <c r="A335" s="1" t="s">
        <v>5</v>
      </c>
      <c r="B335" s="1" t="s">
        <v>5</v>
      </c>
      <c r="C335" s="1" t="s">
        <v>5</v>
      </c>
      <c r="D335" s="1" t="s">
        <v>5</v>
      </c>
      <c r="E335" s="1" t="s">
        <v>4</v>
      </c>
      <c r="F335" s="13" t="s">
        <v>265</v>
      </c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U335" s="17" t="s">
        <v>266</v>
      </c>
      <c r="V335" s="18">
        <v>2</v>
      </c>
      <c r="W335" s="47" t="s">
        <v>1019</v>
      </c>
      <c r="X335" s="18"/>
      <c r="Y335" s="18"/>
      <c r="Z335" s="98"/>
      <c r="AA335" s="19"/>
      <c r="AB335" s="19"/>
      <c r="AC335" s="18"/>
    </row>
    <row r="336" spans="1:29" s="7" customFormat="1" outlineLevel="4" x14ac:dyDescent="0.25">
      <c r="A336" s="1" t="s">
        <v>5</v>
      </c>
      <c r="B336" s="1" t="s">
        <v>5</v>
      </c>
      <c r="C336" s="1" t="s">
        <v>5</v>
      </c>
      <c r="D336" s="1" t="s">
        <v>5</v>
      </c>
      <c r="E336" s="1" t="s">
        <v>4</v>
      </c>
      <c r="F336" s="13" t="s">
        <v>875</v>
      </c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U336" s="17" t="s">
        <v>888</v>
      </c>
      <c r="V336" s="18">
        <v>1</v>
      </c>
      <c r="W336" s="47" t="s">
        <v>1019</v>
      </c>
      <c r="X336" s="18"/>
      <c r="Y336" s="18"/>
      <c r="Z336" s="98"/>
      <c r="AA336" s="19"/>
      <c r="AB336" s="19"/>
      <c r="AC336" s="18"/>
    </row>
    <row r="337" spans="1:29" s="7" customFormat="1" outlineLevel="4" x14ac:dyDescent="0.25">
      <c r="A337" s="1" t="s">
        <v>5</v>
      </c>
      <c r="B337" s="1" t="s">
        <v>5</v>
      </c>
      <c r="C337" s="1" t="s">
        <v>5</v>
      </c>
      <c r="D337" s="1" t="s">
        <v>5</v>
      </c>
      <c r="E337" s="1" t="s">
        <v>4</v>
      </c>
      <c r="F337" s="13" t="s">
        <v>895</v>
      </c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U337" s="17" t="s">
        <v>896</v>
      </c>
      <c r="V337" s="18">
        <v>1</v>
      </c>
      <c r="W337" s="47" t="s">
        <v>1019</v>
      </c>
      <c r="X337" s="18"/>
      <c r="Y337" s="18"/>
      <c r="Z337" s="98"/>
      <c r="AA337" s="19"/>
      <c r="AB337" s="19"/>
      <c r="AC337" s="18"/>
    </row>
    <row r="338" spans="1:29" s="7" customFormat="1" outlineLevel="4" x14ac:dyDescent="0.25">
      <c r="A338" s="1" t="s">
        <v>5</v>
      </c>
      <c r="B338" s="1" t="s">
        <v>5</v>
      </c>
      <c r="C338" s="1" t="s">
        <v>5</v>
      </c>
      <c r="D338" s="1" t="s">
        <v>5</v>
      </c>
      <c r="E338" s="1" t="s">
        <v>4</v>
      </c>
      <c r="F338" s="13" t="s">
        <v>655</v>
      </c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U338" s="17" t="s">
        <v>693</v>
      </c>
      <c r="V338" s="18">
        <v>9</v>
      </c>
      <c r="W338" s="47" t="s">
        <v>1019</v>
      </c>
      <c r="X338" s="18"/>
      <c r="Y338" s="18"/>
      <c r="Z338" s="98"/>
      <c r="AA338" s="19"/>
      <c r="AB338" s="19"/>
      <c r="AC338" s="18"/>
    </row>
    <row r="339" spans="1:29" s="7" customFormat="1" outlineLevel="4" x14ac:dyDescent="0.25">
      <c r="A339" s="1" t="s">
        <v>5</v>
      </c>
      <c r="B339" s="1" t="s">
        <v>5</v>
      </c>
      <c r="C339" s="1" t="s">
        <v>5</v>
      </c>
      <c r="D339" s="1" t="s">
        <v>5</v>
      </c>
      <c r="E339" s="1" t="s">
        <v>4</v>
      </c>
      <c r="F339" s="13" t="s">
        <v>889</v>
      </c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U339" s="17" t="s">
        <v>897</v>
      </c>
      <c r="V339" s="18">
        <v>1</v>
      </c>
      <c r="W339" s="47" t="s">
        <v>1019</v>
      </c>
      <c r="X339" s="18"/>
      <c r="Y339" s="18"/>
      <c r="Z339" s="98"/>
      <c r="AA339" s="19"/>
      <c r="AB339" s="19"/>
      <c r="AC339" s="18"/>
    </row>
    <row r="340" spans="1:29" s="7" customFormat="1" outlineLevel="4" x14ac:dyDescent="0.25">
      <c r="A340" s="1" t="s">
        <v>5</v>
      </c>
      <c r="B340" s="1" t="s">
        <v>5</v>
      </c>
      <c r="C340" s="1" t="s">
        <v>5</v>
      </c>
      <c r="D340" s="1" t="s">
        <v>5</v>
      </c>
      <c r="E340" s="1" t="s">
        <v>4</v>
      </c>
      <c r="F340" s="13" t="s">
        <v>656</v>
      </c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U340" s="17" t="s">
        <v>694</v>
      </c>
      <c r="V340" s="18">
        <v>1</v>
      </c>
      <c r="W340" s="47" t="s">
        <v>1019</v>
      </c>
      <c r="X340" s="18"/>
      <c r="Y340" s="18"/>
      <c r="Z340" s="98"/>
      <c r="AA340" s="19"/>
      <c r="AB340" s="19"/>
      <c r="AC340" s="18"/>
    </row>
    <row r="341" spans="1:29" s="7" customFormat="1" outlineLevel="4" x14ac:dyDescent="0.25">
      <c r="A341" s="1" t="s">
        <v>5</v>
      </c>
      <c r="B341" s="1" t="s">
        <v>5</v>
      </c>
      <c r="C341" s="1" t="s">
        <v>5</v>
      </c>
      <c r="D341" s="1" t="s">
        <v>5</v>
      </c>
      <c r="E341" s="1" t="s">
        <v>4</v>
      </c>
      <c r="F341" s="13" t="s">
        <v>890</v>
      </c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U341" s="17" t="s">
        <v>898</v>
      </c>
      <c r="V341" s="18">
        <v>1</v>
      </c>
      <c r="W341" s="47" t="s">
        <v>1019</v>
      </c>
      <c r="X341" s="18"/>
      <c r="Y341" s="18"/>
      <c r="Z341" s="98"/>
      <c r="AA341" s="19"/>
      <c r="AB341" s="19"/>
      <c r="AC341" s="18"/>
    </row>
    <row r="342" spans="1:29" s="7" customFormat="1" outlineLevel="4" x14ac:dyDescent="0.25">
      <c r="A342" s="1" t="s">
        <v>5</v>
      </c>
      <c r="B342" s="1" t="s">
        <v>5</v>
      </c>
      <c r="C342" s="1" t="s">
        <v>5</v>
      </c>
      <c r="D342" s="1" t="s">
        <v>5</v>
      </c>
      <c r="E342" s="1" t="s">
        <v>4</v>
      </c>
      <c r="F342" s="13" t="s">
        <v>891</v>
      </c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U342" s="17" t="s">
        <v>899</v>
      </c>
      <c r="V342" s="18">
        <v>1</v>
      </c>
      <c r="W342" s="47" t="s">
        <v>1019</v>
      </c>
      <c r="X342" s="18"/>
      <c r="Y342" s="18"/>
      <c r="Z342" s="98"/>
      <c r="AA342" s="19"/>
      <c r="AB342" s="19"/>
      <c r="AC342" s="18"/>
    </row>
    <row r="343" spans="1:29" s="7" customFormat="1" outlineLevel="4" x14ac:dyDescent="0.25">
      <c r="A343" s="1" t="s">
        <v>5</v>
      </c>
      <c r="B343" s="1" t="s">
        <v>5</v>
      </c>
      <c r="C343" s="1" t="s">
        <v>5</v>
      </c>
      <c r="D343" s="1" t="s">
        <v>5</v>
      </c>
      <c r="E343" s="1" t="s">
        <v>4</v>
      </c>
      <c r="F343" s="13" t="s">
        <v>939</v>
      </c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U343" s="17">
        <v>22035105</v>
      </c>
      <c r="V343" s="18">
        <v>1</v>
      </c>
      <c r="W343" s="47" t="s">
        <v>1019</v>
      </c>
      <c r="X343" s="18" t="s">
        <v>930</v>
      </c>
      <c r="Y343" s="25" t="s">
        <v>948</v>
      </c>
      <c r="Z343" s="98"/>
      <c r="AA343" s="19"/>
      <c r="AB343" s="19"/>
      <c r="AC343" s="18"/>
    </row>
    <row r="344" spans="1:29" s="7" customFormat="1" outlineLevel="4" x14ac:dyDescent="0.25">
      <c r="A344" s="1" t="s">
        <v>5</v>
      </c>
      <c r="B344" s="1" t="s">
        <v>5</v>
      </c>
      <c r="C344" s="1" t="s">
        <v>5</v>
      </c>
      <c r="D344" s="1" t="s">
        <v>5</v>
      </c>
      <c r="E344" s="1" t="s">
        <v>4</v>
      </c>
      <c r="F344" s="13" t="s">
        <v>940</v>
      </c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U344" s="17">
        <v>22035035</v>
      </c>
      <c r="V344" s="18">
        <v>8</v>
      </c>
      <c r="W344" s="47" t="s">
        <v>1019</v>
      </c>
      <c r="X344" s="18" t="s">
        <v>930</v>
      </c>
      <c r="Y344" s="25" t="s">
        <v>947</v>
      </c>
      <c r="Z344" s="98"/>
      <c r="AA344" s="19"/>
      <c r="AB344" s="19"/>
      <c r="AC344" s="18"/>
    </row>
    <row r="345" spans="1:29" s="7" customFormat="1" outlineLevel="4" x14ac:dyDescent="0.25">
      <c r="A345" s="1" t="s">
        <v>5</v>
      </c>
      <c r="B345" s="1" t="s">
        <v>5</v>
      </c>
      <c r="C345" s="1" t="s">
        <v>5</v>
      </c>
      <c r="D345" s="1" t="s">
        <v>5</v>
      </c>
      <c r="E345" s="1" t="s">
        <v>4</v>
      </c>
      <c r="F345" s="13" t="s">
        <v>941</v>
      </c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U345" s="17">
        <v>22035025</v>
      </c>
      <c r="V345" s="18">
        <v>5</v>
      </c>
      <c r="W345" s="47" t="s">
        <v>1019</v>
      </c>
      <c r="X345" s="18" t="s">
        <v>930</v>
      </c>
      <c r="Y345" s="25" t="s">
        <v>946</v>
      </c>
      <c r="Z345" s="98"/>
      <c r="AA345" s="19"/>
      <c r="AB345" s="19"/>
      <c r="AC345" s="18"/>
    </row>
    <row r="346" spans="1:29" s="7" customFormat="1" outlineLevel="4" x14ac:dyDescent="0.25">
      <c r="A346" s="1" t="s">
        <v>5</v>
      </c>
      <c r="B346" s="1" t="s">
        <v>5</v>
      </c>
      <c r="C346" s="1" t="s">
        <v>5</v>
      </c>
      <c r="D346" s="1" t="s">
        <v>5</v>
      </c>
      <c r="E346" s="1" t="s">
        <v>4</v>
      </c>
      <c r="F346" s="13" t="s">
        <v>942</v>
      </c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U346" s="17">
        <v>22035055</v>
      </c>
      <c r="V346" s="18">
        <v>4</v>
      </c>
      <c r="W346" s="47" t="s">
        <v>1019</v>
      </c>
      <c r="X346" s="18" t="s">
        <v>930</v>
      </c>
      <c r="Y346" s="25" t="s">
        <v>944</v>
      </c>
      <c r="Z346" s="98"/>
      <c r="AA346" s="19"/>
      <c r="AB346" s="19"/>
      <c r="AC346" s="18"/>
    </row>
    <row r="347" spans="1:29" s="7" customFormat="1" outlineLevel="4" x14ac:dyDescent="0.25">
      <c r="A347" s="1" t="s">
        <v>5</v>
      </c>
      <c r="B347" s="1" t="s">
        <v>5</v>
      </c>
      <c r="C347" s="1" t="s">
        <v>5</v>
      </c>
      <c r="D347" s="1" t="s">
        <v>5</v>
      </c>
      <c r="E347" s="1" t="s">
        <v>4</v>
      </c>
      <c r="F347" s="13" t="s">
        <v>639</v>
      </c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U347" s="17" t="s">
        <v>677</v>
      </c>
      <c r="V347" s="18">
        <v>1</v>
      </c>
      <c r="W347" s="47" t="s">
        <v>1019</v>
      </c>
      <c r="X347" s="18"/>
      <c r="Y347" s="18"/>
      <c r="Z347" s="98"/>
      <c r="AA347" s="19"/>
      <c r="AB347" s="19"/>
      <c r="AC347" s="18"/>
    </row>
    <row r="348" spans="1:29" s="7" customFormat="1" outlineLevel="4" x14ac:dyDescent="0.25">
      <c r="A348" s="1" t="s">
        <v>5</v>
      </c>
      <c r="B348" s="1" t="s">
        <v>5</v>
      </c>
      <c r="C348" s="1" t="s">
        <v>5</v>
      </c>
      <c r="D348" s="1" t="s">
        <v>5</v>
      </c>
      <c r="E348" s="1" t="s">
        <v>4</v>
      </c>
      <c r="F348" s="13" t="s">
        <v>892</v>
      </c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U348" s="17" t="s">
        <v>900</v>
      </c>
      <c r="V348" s="18">
        <v>4</v>
      </c>
      <c r="W348" s="47" t="s">
        <v>1019</v>
      </c>
      <c r="X348" s="18"/>
      <c r="Y348" s="18"/>
      <c r="Z348" s="98"/>
      <c r="AA348" s="19"/>
      <c r="AB348" s="19"/>
      <c r="AC348" s="18"/>
    </row>
    <row r="349" spans="1:29" s="7" customFormat="1" outlineLevel="4" x14ac:dyDescent="0.25">
      <c r="A349" s="1" t="s">
        <v>5</v>
      </c>
      <c r="B349" s="1" t="s">
        <v>5</v>
      </c>
      <c r="C349" s="1" t="s">
        <v>5</v>
      </c>
      <c r="D349" s="1" t="s">
        <v>5</v>
      </c>
      <c r="E349" s="1" t="s">
        <v>4</v>
      </c>
      <c r="F349" s="13" t="s">
        <v>893</v>
      </c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U349" s="17" t="s">
        <v>901</v>
      </c>
      <c r="V349" s="18">
        <v>1</v>
      </c>
      <c r="W349" s="47" t="s">
        <v>1019</v>
      </c>
      <c r="X349" s="18"/>
      <c r="Y349" s="18"/>
      <c r="Z349" s="98"/>
      <c r="AA349" s="19"/>
      <c r="AB349" s="19"/>
      <c r="AC349" s="18"/>
    </row>
    <row r="350" spans="1:29" s="7" customFormat="1" outlineLevel="4" x14ac:dyDescent="0.25">
      <c r="A350" s="1" t="s">
        <v>5</v>
      </c>
      <c r="B350" s="1" t="s">
        <v>5</v>
      </c>
      <c r="C350" s="1" t="s">
        <v>5</v>
      </c>
      <c r="D350" s="1" t="s">
        <v>5</v>
      </c>
      <c r="E350" s="1" t="s">
        <v>49</v>
      </c>
      <c r="F350" s="13" t="s">
        <v>894</v>
      </c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U350" s="17" t="s">
        <v>902</v>
      </c>
      <c r="V350" s="18">
        <v>1</v>
      </c>
      <c r="W350" s="47" t="s">
        <v>1019</v>
      </c>
      <c r="X350" s="18"/>
      <c r="Y350" s="18"/>
      <c r="Z350" s="98"/>
      <c r="AA350" s="19"/>
      <c r="AB350" s="19"/>
      <c r="AC350" s="18"/>
    </row>
    <row r="351" spans="1:29" s="7" customFormat="1" outlineLevel="3" x14ac:dyDescent="0.25">
      <c r="A351" s="1" t="s">
        <v>5</v>
      </c>
      <c r="B351" s="1" t="s">
        <v>5</v>
      </c>
      <c r="C351" s="1" t="s">
        <v>5</v>
      </c>
      <c r="D351" s="1" t="s">
        <v>4</v>
      </c>
      <c r="E351" s="5" t="s">
        <v>275</v>
      </c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U351" s="17" t="s">
        <v>2506</v>
      </c>
      <c r="V351" s="18">
        <v>1</v>
      </c>
      <c r="W351" s="47" t="s">
        <v>1019</v>
      </c>
      <c r="X351" s="18"/>
      <c r="Y351" s="18"/>
      <c r="Z351" s="98"/>
      <c r="AA351" s="19"/>
      <c r="AB351" s="19"/>
      <c r="AC351" s="18"/>
    </row>
    <row r="352" spans="1:29" s="7" customFormat="1" outlineLevel="4" x14ac:dyDescent="0.25">
      <c r="A352" s="1" t="s">
        <v>5</v>
      </c>
      <c r="B352" s="1" t="s">
        <v>5</v>
      </c>
      <c r="C352" s="1" t="s">
        <v>5</v>
      </c>
      <c r="D352" s="1" t="s">
        <v>5</v>
      </c>
      <c r="E352" s="1" t="s">
        <v>4</v>
      </c>
      <c r="F352" s="13" t="s">
        <v>614</v>
      </c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U352" s="17"/>
      <c r="V352" s="18">
        <v>4</v>
      </c>
      <c r="W352" s="47" t="s">
        <v>1019</v>
      </c>
      <c r="X352" s="18"/>
      <c r="Y352" s="18"/>
      <c r="Z352" s="98"/>
      <c r="AA352" s="19"/>
      <c r="AB352" s="19"/>
      <c r="AC352" s="18"/>
    </row>
    <row r="353" spans="1:29" s="7" customFormat="1" outlineLevel="4" x14ac:dyDescent="0.25">
      <c r="A353" s="1" t="s">
        <v>5</v>
      </c>
      <c r="B353" s="1" t="s">
        <v>5</v>
      </c>
      <c r="C353" s="1" t="s">
        <v>5</v>
      </c>
      <c r="D353" s="1" t="s">
        <v>5</v>
      </c>
      <c r="E353" s="1" t="s">
        <v>4</v>
      </c>
      <c r="F353" s="13" t="s">
        <v>610</v>
      </c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U353" s="17"/>
      <c r="V353" s="18">
        <v>4</v>
      </c>
      <c r="W353" s="47" t="s">
        <v>1019</v>
      </c>
      <c r="X353" s="18"/>
      <c r="Y353" s="18"/>
      <c r="Z353" s="98"/>
      <c r="AA353" s="19"/>
      <c r="AB353" s="19"/>
      <c r="AC353" s="18"/>
    </row>
    <row r="354" spans="1:29" s="7" customFormat="1" outlineLevel="4" x14ac:dyDescent="0.25">
      <c r="A354" s="1" t="s">
        <v>5</v>
      </c>
      <c r="B354" s="1" t="s">
        <v>5</v>
      </c>
      <c r="C354" s="1" t="s">
        <v>5</v>
      </c>
      <c r="D354" s="1" t="s">
        <v>5</v>
      </c>
      <c r="E354" s="1" t="s">
        <v>49</v>
      </c>
      <c r="F354" s="13" t="s">
        <v>309</v>
      </c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U354" s="17"/>
      <c r="V354" s="18">
        <v>4</v>
      </c>
      <c r="W354" s="47" t="s">
        <v>1019</v>
      </c>
      <c r="X354" s="18"/>
      <c r="Y354" s="18"/>
      <c r="Z354" s="98"/>
      <c r="AA354" s="19"/>
      <c r="AB354" s="19"/>
      <c r="AC354" s="18"/>
    </row>
    <row r="355" spans="1:29" s="7" customFormat="1" outlineLevel="3" x14ac:dyDescent="0.25">
      <c r="A355" s="50" t="s">
        <v>5</v>
      </c>
      <c r="B355" s="50" t="s">
        <v>5</v>
      </c>
      <c r="C355" s="50" t="s">
        <v>5</v>
      </c>
      <c r="D355" s="50" t="s">
        <v>4</v>
      </c>
      <c r="E355" s="52" t="s">
        <v>1850</v>
      </c>
      <c r="F355" s="58"/>
      <c r="G355" s="58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8"/>
      <c r="U355" s="53"/>
      <c r="V355" s="54">
        <v>9</v>
      </c>
      <c r="W355" s="55" t="s">
        <v>1019</v>
      </c>
      <c r="X355" s="54"/>
      <c r="Y355" s="54"/>
      <c r="Z355" s="100"/>
      <c r="AA355" s="56"/>
      <c r="AB355" s="56"/>
      <c r="AC355" s="54"/>
    </row>
    <row r="356" spans="1:29" s="7" customFormat="1" outlineLevel="3" x14ac:dyDescent="0.25">
      <c r="A356" s="50" t="s">
        <v>5</v>
      </c>
      <c r="B356" s="50" t="s">
        <v>5</v>
      </c>
      <c r="C356" s="50" t="s">
        <v>5</v>
      </c>
      <c r="D356" s="50" t="s">
        <v>4</v>
      </c>
      <c r="E356" s="52" t="s">
        <v>1851</v>
      </c>
      <c r="F356" s="58"/>
      <c r="G356" s="58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8"/>
      <c r="U356" s="53"/>
      <c r="V356" s="54">
        <v>1</v>
      </c>
      <c r="W356" s="55" t="s">
        <v>1019</v>
      </c>
      <c r="X356" s="54"/>
      <c r="Y356" s="54"/>
      <c r="Z356" s="100"/>
      <c r="AA356" s="56"/>
      <c r="AB356" s="56"/>
      <c r="AC356" s="54"/>
    </row>
    <row r="357" spans="1:29" s="7" customFormat="1" outlineLevel="3" x14ac:dyDescent="0.25">
      <c r="A357" s="50" t="s">
        <v>5</v>
      </c>
      <c r="B357" s="50" t="s">
        <v>5</v>
      </c>
      <c r="C357" s="50" t="s">
        <v>5</v>
      </c>
      <c r="D357" s="50" t="s">
        <v>4</v>
      </c>
      <c r="E357" s="52" t="s">
        <v>1852</v>
      </c>
      <c r="F357" s="58"/>
      <c r="G357" s="58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8"/>
      <c r="U357" s="53"/>
      <c r="V357" s="54">
        <v>1</v>
      </c>
      <c r="W357" s="55" t="s">
        <v>1019</v>
      </c>
      <c r="X357" s="54"/>
      <c r="Y357" s="54"/>
      <c r="Z357" s="100"/>
      <c r="AA357" s="56"/>
      <c r="AB357" s="56"/>
      <c r="AC357" s="54"/>
    </row>
    <row r="358" spans="1:29" s="7" customFormat="1" outlineLevel="3" x14ac:dyDescent="0.25">
      <c r="A358" s="50" t="s">
        <v>5</v>
      </c>
      <c r="B358" s="50" t="s">
        <v>5</v>
      </c>
      <c r="C358" s="50" t="s">
        <v>5</v>
      </c>
      <c r="D358" s="50" t="s">
        <v>4</v>
      </c>
      <c r="E358" s="52" t="s">
        <v>1854</v>
      </c>
      <c r="F358" s="58"/>
      <c r="G358" s="58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8"/>
      <c r="U358" s="53"/>
      <c r="V358" s="54">
        <v>4</v>
      </c>
      <c r="W358" s="55" t="s">
        <v>1019</v>
      </c>
      <c r="X358" s="54"/>
      <c r="Y358" s="54"/>
      <c r="Z358" s="100"/>
      <c r="AA358" s="56"/>
      <c r="AB358" s="56"/>
      <c r="AC358" s="54"/>
    </row>
    <row r="359" spans="1:29" s="7" customFormat="1" outlineLevel="3" x14ac:dyDescent="0.25">
      <c r="A359" s="50" t="s">
        <v>5</v>
      </c>
      <c r="B359" s="50" t="s">
        <v>5</v>
      </c>
      <c r="C359" s="50" t="s">
        <v>5</v>
      </c>
      <c r="D359" s="50" t="s">
        <v>4</v>
      </c>
      <c r="E359" s="52" t="s">
        <v>1023</v>
      </c>
      <c r="F359" s="58"/>
      <c r="G359" s="58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8"/>
      <c r="U359" s="53"/>
      <c r="V359" s="54">
        <v>13</v>
      </c>
      <c r="W359" s="55" t="s">
        <v>1019</v>
      </c>
      <c r="X359" s="54"/>
      <c r="Y359" s="54"/>
      <c r="Z359" s="100"/>
      <c r="AA359" s="56"/>
      <c r="AB359" s="56"/>
      <c r="AC359" s="54"/>
    </row>
    <row r="360" spans="1:29" s="7" customFormat="1" outlineLevel="3" x14ac:dyDescent="0.25">
      <c r="A360" s="50" t="s">
        <v>5</v>
      </c>
      <c r="B360" s="50" t="s">
        <v>5</v>
      </c>
      <c r="C360" s="50" t="s">
        <v>5</v>
      </c>
      <c r="D360" s="50" t="s">
        <v>4</v>
      </c>
      <c r="E360" s="52" t="s">
        <v>1024</v>
      </c>
      <c r="F360" s="58"/>
      <c r="G360" s="58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8"/>
      <c r="U360" s="53"/>
      <c r="V360" s="54">
        <v>13</v>
      </c>
      <c r="W360" s="55" t="s">
        <v>1019</v>
      </c>
      <c r="X360" s="54"/>
      <c r="Y360" s="54"/>
      <c r="Z360" s="100"/>
      <c r="AA360" s="56"/>
      <c r="AB360" s="56"/>
      <c r="AC360" s="54"/>
    </row>
    <row r="361" spans="1:29" s="7" customFormat="1" outlineLevel="3" x14ac:dyDescent="0.25">
      <c r="A361" s="50" t="s">
        <v>5</v>
      </c>
      <c r="B361" s="50" t="s">
        <v>5</v>
      </c>
      <c r="C361" s="50" t="s">
        <v>5</v>
      </c>
      <c r="D361" s="50" t="s">
        <v>4</v>
      </c>
      <c r="E361" s="52" t="s">
        <v>1856</v>
      </c>
      <c r="F361" s="58"/>
      <c r="G361" s="58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8"/>
      <c r="U361" s="53"/>
      <c r="V361" s="54">
        <v>4</v>
      </c>
      <c r="W361" s="55" t="s">
        <v>1019</v>
      </c>
      <c r="X361" s="54"/>
      <c r="Y361" s="54"/>
      <c r="Z361" s="100"/>
      <c r="AA361" s="56"/>
      <c r="AB361" s="56"/>
      <c r="AC361" s="54"/>
    </row>
    <row r="362" spans="1:29" s="7" customFormat="1" outlineLevel="3" x14ac:dyDescent="0.25">
      <c r="A362" s="1" t="s">
        <v>5</v>
      </c>
      <c r="B362" s="1" t="s">
        <v>5</v>
      </c>
      <c r="C362" s="1" t="s">
        <v>5</v>
      </c>
      <c r="D362" s="1" t="s">
        <v>4</v>
      </c>
      <c r="E362" s="13" t="s">
        <v>1849</v>
      </c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U362" s="17" t="s">
        <v>54</v>
      </c>
      <c r="V362" s="18">
        <v>1</v>
      </c>
      <c r="W362" s="47" t="s">
        <v>1019</v>
      </c>
      <c r="X362" s="18"/>
      <c r="Y362" s="18"/>
      <c r="Z362" s="98"/>
      <c r="AA362" s="19">
        <v>4397.26</v>
      </c>
      <c r="AB362" s="19"/>
      <c r="AC362" s="18" t="s">
        <v>959</v>
      </c>
    </row>
    <row r="363" spans="1:29" s="7" customFormat="1" outlineLevel="3" x14ac:dyDescent="0.25">
      <c r="A363" s="50" t="s">
        <v>5</v>
      </c>
      <c r="B363" s="50" t="s">
        <v>5</v>
      </c>
      <c r="C363" s="50" t="s">
        <v>5</v>
      </c>
      <c r="D363" s="50" t="s">
        <v>49</v>
      </c>
      <c r="E363" s="52" t="s">
        <v>1842</v>
      </c>
      <c r="F363" s="58"/>
      <c r="G363" s="58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8"/>
      <c r="U363" s="53">
        <v>62452</v>
      </c>
      <c r="V363" s="54">
        <v>6</v>
      </c>
      <c r="W363" s="55" t="s">
        <v>1019</v>
      </c>
      <c r="X363" s="54"/>
      <c r="Y363" s="54"/>
      <c r="Z363" s="100"/>
      <c r="AA363" s="56"/>
      <c r="AB363" s="56"/>
      <c r="AC363" s="54"/>
    </row>
    <row r="364" spans="1:29" s="7" customFormat="1" outlineLevel="2" x14ac:dyDescent="0.25">
      <c r="A364" s="1" t="s">
        <v>5</v>
      </c>
      <c r="B364" s="1" t="s">
        <v>5</v>
      </c>
      <c r="C364" s="1" t="s">
        <v>4</v>
      </c>
      <c r="D364" s="5" t="s">
        <v>71</v>
      </c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U364" s="17" t="s">
        <v>2244</v>
      </c>
      <c r="V364" s="18">
        <v>1</v>
      </c>
      <c r="W364" s="47" t="s">
        <v>1019</v>
      </c>
      <c r="X364" s="18"/>
      <c r="Y364" s="18"/>
      <c r="Z364" s="98"/>
      <c r="AA364" s="19"/>
      <c r="AB364" s="19"/>
      <c r="AC364" s="18"/>
    </row>
    <row r="365" spans="1:29" s="7" customFormat="1" outlineLevel="3" x14ac:dyDescent="0.25">
      <c r="A365" s="1" t="s">
        <v>5</v>
      </c>
      <c r="B365" s="1" t="s">
        <v>5</v>
      </c>
      <c r="C365" s="1" t="s">
        <v>5</v>
      </c>
      <c r="D365" s="1" t="s">
        <v>4</v>
      </c>
      <c r="E365" s="13" t="s">
        <v>275</v>
      </c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U365" s="17" t="s">
        <v>2507</v>
      </c>
      <c r="V365" s="18">
        <v>1</v>
      </c>
      <c r="W365" s="47" t="s">
        <v>1019</v>
      </c>
      <c r="X365" s="18"/>
      <c r="Y365" s="18"/>
      <c r="Z365" s="98"/>
      <c r="AA365" s="19"/>
      <c r="AB365" s="19"/>
      <c r="AC365" s="18"/>
    </row>
    <row r="366" spans="1:29" s="7" customFormat="1" outlineLevel="3" x14ac:dyDescent="0.25">
      <c r="A366" s="1" t="s">
        <v>5</v>
      </c>
      <c r="B366" s="1" t="s">
        <v>5</v>
      </c>
      <c r="C366" s="1" t="s">
        <v>5</v>
      </c>
      <c r="D366" s="1" t="s">
        <v>4</v>
      </c>
      <c r="E366" s="42" t="s">
        <v>1122</v>
      </c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57"/>
      <c r="T366" s="57"/>
      <c r="U366" s="17"/>
      <c r="V366" s="18">
        <v>4</v>
      </c>
      <c r="W366" s="47" t="s">
        <v>1019</v>
      </c>
      <c r="X366" s="18"/>
      <c r="Y366" s="18"/>
      <c r="Z366" s="98"/>
      <c r="AA366" s="19"/>
      <c r="AB366" s="19"/>
      <c r="AC366" s="18"/>
    </row>
    <row r="367" spans="1:29" s="7" customFormat="1" outlineLevel="3" x14ac:dyDescent="0.25">
      <c r="A367" s="1" t="s">
        <v>5</v>
      </c>
      <c r="B367" s="1" t="s">
        <v>5</v>
      </c>
      <c r="C367" s="1" t="s">
        <v>5</v>
      </c>
      <c r="D367" s="1" t="s">
        <v>49</v>
      </c>
      <c r="E367" s="5" t="s">
        <v>903</v>
      </c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U367" s="17" t="s">
        <v>2245</v>
      </c>
      <c r="V367" s="18">
        <v>1</v>
      </c>
      <c r="W367" s="47" t="s">
        <v>1019</v>
      </c>
      <c r="X367" s="18"/>
      <c r="Y367" s="18"/>
      <c r="Z367" s="98"/>
      <c r="AA367" s="19"/>
      <c r="AB367" s="19"/>
      <c r="AC367" s="18"/>
    </row>
    <row r="368" spans="1:29" s="7" customFormat="1" outlineLevel="4" x14ac:dyDescent="0.25">
      <c r="A368" s="1" t="s">
        <v>5</v>
      </c>
      <c r="B368" s="1" t="s">
        <v>5</v>
      </c>
      <c r="C368" s="1" t="s">
        <v>5</v>
      </c>
      <c r="E368" s="1" t="s">
        <v>4</v>
      </c>
      <c r="F368" s="7" t="s">
        <v>905</v>
      </c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U368" s="17" t="s">
        <v>2246</v>
      </c>
      <c r="V368" s="18">
        <v>1</v>
      </c>
      <c r="W368" s="47" t="s">
        <v>1019</v>
      </c>
      <c r="X368" s="18"/>
      <c r="Y368" s="18"/>
      <c r="Z368" s="98"/>
      <c r="AA368" s="19"/>
      <c r="AB368" s="19"/>
      <c r="AC368" s="18"/>
    </row>
    <row r="369" spans="1:29" s="7" customFormat="1" outlineLevel="4" x14ac:dyDescent="0.25">
      <c r="A369" s="1" t="s">
        <v>5</v>
      </c>
      <c r="B369" s="1" t="s">
        <v>5</v>
      </c>
      <c r="C369" s="1" t="s">
        <v>5</v>
      </c>
      <c r="E369" s="1" t="s">
        <v>4</v>
      </c>
      <c r="F369" s="7" t="s">
        <v>243</v>
      </c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U369" s="17" t="s">
        <v>244</v>
      </c>
      <c r="V369" s="18">
        <v>1</v>
      </c>
      <c r="W369" s="47" t="s">
        <v>1019</v>
      </c>
      <c r="X369" s="18"/>
      <c r="Y369" s="18"/>
      <c r="Z369" s="98"/>
      <c r="AA369" s="19"/>
      <c r="AB369" s="19"/>
      <c r="AC369" s="18"/>
    </row>
    <row r="370" spans="1:29" s="7" customFormat="1" outlineLevel="4" x14ac:dyDescent="0.25">
      <c r="A370" s="1" t="s">
        <v>5</v>
      </c>
      <c r="B370" s="1" t="s">
        <v>5</v>
      </c>
      <c r="C370" s="1" t="s">
        <v>5</v>
      </c>
      <c r="E370" s="1" t="s">
        <v>4</v>
      </c>
      <c r="F370" s="7" t="s">
        <v>906</v>
      </c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U370" s="17" t="s">
        <v>912</v>
      </c>
      <c r="V370" s="18">
        <v>1</v>
      </c>
      <c r="W370" s="47" t="s">
        <v>1019</v>
      </c>
      <c r="X370" s="18"/>
      <c r="Y370" s="18"/>
      <c r="Z370" s="98"/>
      <c r="AA370" s="19"/>
      <c r="AB370" s="19"/>
      <c r="AC370" s="18"/>
    </row>
    <row r="371" spans="1:29" s="7" customFormat="1" outlineLevel="4" x14ac:dyDescent="0.25">
      <c r="A371" s="50" t="s">
        <v>5</v>
      </c>
      <c r="B371" s="50" t="s">
        <v>5</v>
      </c>
      <c r="C371" s="50" t="s">
        <v>5</v>
      </c>
      <c r="D371" s="58"/>
      <c r="E371" s="50" t="s">
        <v>4</v>
      </c>
      <c r="F371" s="58" t="s">
        <v>1008</v>
      </c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8"/>
      <c r="T371" s="58"/>
      <c r="U371" s="53" t="s">
        <v>918</v>
      </c>
      <c r="V371" s="54">
        <v>1</v>
      </c>
      <c r="W371" s="47" t="s">
        <v>1019</v>
      </c>
      <c r="X371" s="54"/>
      <c r="Y371" s="54"/>
      <c r="Z371" s="100"/>
      <c r="AA371" s="56"/>
      <c r="AB371" s="56"/>
      <c r="AC371" s="54" t="s">
        <v>917</v>
      </c>
    </row>
    <row r="372" spans="1:29" s="7" customFormat="1" outlineLevel="4" x14ac:dyDescent="0.25">
      <c r="A372" s="1" t="s">
        <v>5</v>
      </c>
      <c r="B372" s="1" t="s">
        <v>5</v>
      </c>
      <c r="C372" s="1" t="s">
        <v>5</v>
      </c>
      <c r="E372" s="1" t="s">
        <v>4</v>
      </c>
      <c r="F372" s="7" t="s">
        <v>907</v>
      </c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U372" s="17" t="s">
        <v>913</v>
      </c>
      <c r="V372" s="18">
        <v>1</v>
      </c>
      <c r="W372" s="47" t="s">
        <v>1019</v>
      </c>
      <c r="X372" s="18"/>
      <c r="Y372" s="18"/>
      <c r="Z372" s="98"/>
      <c r="AA372" s="19"/>
      <c r="AB372" s="19"/>
      <c r="AC372" s="18"/>
    </row>
    <row r="373" spans="1:29" s="7" customFormat="1" outlineLevel="4" x14ac:dyDescent="0.25">
      <c r="A373" s="1" t="s">
        <v>5</v>
      </c>
      <c r="B373" s="1" t="s">
        <v>5</v>
      </c>
      <c r="C373" s="1" t="s">
        <v>5</v>
      </c>
      <c r="E373" s="1" t="s">
        <v>4</v>
      </c>
      <c r="F373" s="7" t="s">
        <v>908</v>
      </c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U373" s="17" t="s">
        <v>914</v>
      </c>
      <c r="V373" s="18">
        <v>1</v>
      </c>
      <c r="W373" s="47" t="s">
        <v>1019</v>
      </c>
      <c r="X373" s="18"/>
      <c r="Y373" s="18"/>
      <c r="Z373" s="98"/>
      <c r="AA373" s="19"/>
      <c r="AB373" s="19"/>
      <c r="AC373" s="18"/>
    </row>
    <row r="374" spans="1:29" s="7" customFormat="1" outlineLevel="4" x14ac:dyDescent="0.25">
      <c r="A374" s="1" t="s">
        <v>5</v>
      </c>
      <c r="B374" s="1" t="s">
        <v>5</v>
      </c>
      <c r="C374" s="1" t="s">
        <v>5</v>
      </c>
      <c r="E374" s="1" t="s">
        <v>4</v>
      </c>
      <c r="F374" s="7" t="s">
        <v>909</v>
      </c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U374" s="17" t="s">
        <v>915</v>
      </c>
      <c r="V374" s="18">
        <v>1</v>
      </c>
      <c r="W374" s="47" t="s">
        <v>1019</v>
      </c>
      <c r="X374" s="18"/>
      <c r="Y374" s="18"/>
      <c r="Z374" s="98"/>
      <c r="AA374" s="19"/>
      <c r="AB374" s="19"/>
      <c r="AC374" s="18"/>
    </row>
    <row r="375" spans="1:29" s="7" customFormat="1" outlineLevel="4" x14ac:dyDescent="0.25">
      <c r="A375" s="1" t="s">
        <v>5</v>
      </c>
      <c r="B375" s="1" t="s">
        <v>5</v>
      </c>
      <c r="C375" s="1" t="s">
        <v>5</v>
      </c>
      <c r="E375" s="1" t="s">
        <v>4</v>
      </c>
      <c r="F375" s="7" t="s">
        <v>910</v>
      </c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U375" s="17" t="s">
        <v>518</v>
      </c>
      <c r="V375" s="18">
        <v>2</v>
      </c>
      <c r="W375" s="47" t="s">
        <v>1019</v>
      </c>
      <c r="X375" s="18"/>
      <c r="Y375" s="18"/>
      <c r="Z375" s="98"/>
      <c r="AA375" s="19"/>
      <c r="AB375" s="19"/>
      <c r="AC375" s="18"/>
    </row>
    <row r="376" spans="1:29" s="7" customFormat="1" outlineLevel="4" x14ac:dyDescent="0.25">
      <c r="A376" s="1" t="s">
        <v>5</v>
      </c>
      <c r="B376" s="1" t="s">
        <v>5</v>
      </c>
      <c r="C376" s="1" t="s">
        <v>5</v>
      </c>
      <c r="E376" s="1" t="s">
        <v>4</v>
      </c>
      <c r="F376" s="7" t="s">
        <v>911</v>
      </c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U376" s="17" t="s">
        <v>916</v>
      </c>
      <c r="V376" s="18">
        <v>1</v>
      </c>
      <c r="W376" s="47" t="s">
        <v>1019</v>
      </c>
      <c r="X376" s="18"/>
      <c r="Y376" s="18"/>
      <c r="Z376" s="98"/>
      <c r="AA376" s="19"/>
      <c r="AB376" s="19"/>
      <c r="AC376" s="18"/>
    </row>
    <row r="377" spans="1:29" s="7" customFormat="1" outlineLevel="4" x14ac:dyDescent="0.25">
      <c r="A377" s="1" t="s">
        <v>5</v>
      </c>
      <c r="B377" s="1" t="s">
        <v>5</v>
      </c>
      <c r="C377" s="1" t="s">
        <v>5</v>
      </c>
      <c r="E377" s="1" t="s">
        <v>4</v>
      </c>
      <c r="F377" s="7" t="s">
        <v>869</v>
      </c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U377" s="17" t="s">
        <v>882</v>
      </c>
      <c r="V377" s="18">
        <v>1</v>
      </c>
      <c r="W377" s="47" t="s">
        <v>1019</v>
      </c>
      <c r="X377" s="18"/>
      <c r="Y377" s="18"/>
      <c r="Z377" s="98"/>
      <c r="AA377" s="19"/>
      <c r="AB377" s="19"/>
      <c r="AC377" s="18"/>
    </row>
    <row r="378" spans="1:29" s="7" customFormat="1" outlineLevel="4" x14ac:dyDescent="0.25">
      <c r="A378" s="1" t="s">
        <v>5</v>
      </c>
      <c r="B378" s="1" t="s">
        <v>5</v>
      </c>
      <c r="C378" s="1" t="s">
        <v>5</v>
      </c>
      <c r="E378" s="1" t="s">
        <v>4</v>
      </c>
      <c r="F378" s="7" t="s">
        <v>267</v>
      </c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U378" s="17" t="s">
        <v>268</v>
      </c>
      <c r="V378" s="18">
        <v>1</v>
      </c>
      <c r="W378" s="47" t="s">
        <v>1019</v>
      </c>
      <c r="X378" s="18"/>
      <c r="Y378" s="18"/>
      <c r="Z378" s="98"/>
      <c r="AA378" s="19"/>
      <c r="AB378" s="19"/>
      <c r="AC378" s="18"/>
    </row>
    <row r="379" spans="1:29" s="7" customFormat="1" outlineLevel="4" x14ac:dyDescent="0.25">
      <c r="A379" s="1" t="s">
        <v>5</v>
      </c>
      <c r="B379" s="1" t="s">
        <v>5</v>
      </c>
      <c r="C379" s="1" t="s">
        <v>5</v>
      </c>
      <c r="E379" s="1" t="s">
        <v>49</v>
      </c>
      <c r="F379" s="7" t="s">
        <v>943</v>
      </c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U379" s="17">
        <v>22035045</v>
      </c>
      <c r="V379" s="18">
        <v>1</v>
      </c>
      <c r="W379" s="47" t="s">
        <v>1019</v>
      </c>
      <c r="X379" s="18" t="s">
        <v>930</v>
      </c>
      <c r="Y379" s="25" t="s">
        <v>945</v>
      </c>
      <c r="Z379" s="98"/>
      <c r="AA379" s="19"/>
      <c r="AB379" s="19"/>
      <c r="AC379" s="18"/>
    </row>
    <row r="380" spans="1:29" s="7" customFormat="1" outlineLevel="2" x14ac:dyDescent="0.25">
      <c r="A380" s="50" t="s">
        <v>5</v>
      </c>
      <c r="B380" s="50" t="s">
        <v>5</v>
      </c>
      <c r="C380" s="50" t="s">
        <v>4</v>
      </c>
      <c r="D380" s="51" t="s">
        <v>1904</v>
      </c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8"/>
      <c r="T380" s="58"/>
      <c r="U380" s="53" t="s">
        <v>2247</v>
      </c>
      <c r="V380" s="54">
        <v>1</v>
      </c>
      <c r="W380" s="55" t="s">
        <v>1019</v>
      </c>
      <c r="X380" s="54"/>
      <c r="Y380" s="54"/>
      <c r="Z380" s="100"/>
      <c r="AA380" s="56"/>
      <c r="AB380" s="56"/>
      <c r="AC380" s="54"/>
    </row>
    <row r="381" spans="1:29" s="7" customFormat="1" outlineLevel="3" x14ac:dyDescent="0.25">
      <c r="A381" s="50" t="s">
        <v>5</v>
      </c>
      <c r="B381" s="50" t="s">
        <v>5</v>
      </c>
      <c r="C381" s="50" t="s">
        <v>5</v>
      </c>
      <c r="D381" s="50" t="s">
        <v>4</v>
      </c>
      <c r="E381" s="52" t="s">
        <v>226</v>
      </c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8"/>
      <c r="U381" s="53" t="s">
        <v>227</v>
      </c>
      <c r="V381" s="54">
        <v>3</v>
      </c>
      <c r="W381" s="55" t="s">
        <v>1019</v>
      </c>
      <c r="X381" s="54"/>
      <c r="Y381" s="60"/>
      <c r="Z381" s="100"/>
      <c r="AA381" s="56"/>
      <c r="AB381" s="56"/>
      <c r="AC381" s="54"/>
    </row>
    <row r="382" spans="1:29" s="7" customFormat="1" outlineLevel="3" x14ac:dyDescent="0.25">
      <c r="A382" s="50" t="s">
        <v>5</v>
      </c>
      <c r="B382" s="50" t="s">
        <v>5</v>
      </c>
      <c r="C382" s="50" t="s">
        <v>5</v>
      </c>
      <c r="D382" s="50" t="s">
        <v>4</v>
      </c>
      <c r="E382" s="52" t="s">
        <v>1907</v>
      </c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8"/>
      <c r="U382" s="53"/>
      <c r="V382" s="54">
        <v>1</v>
      </c>
      <c r="W382" s="55" t="s">
        <v>1019</v>
      </c>
      <c r="X382" s="54"/>
      <c r="Y382" s="60"/>
      <c r="Z382" s="100"/>
      <c r="AA382" s="56"/>
      <c r="AB382" s="56"/>
      <c r="AC382" s="54" t="s">
        <v>1905</v>
      </c>
    </row>
    <row r="383" spans="1:29" s="7" customFormat="1" outlineLevel="3" x14ac:dyDescent="0.25">
      <c r="A383" s="50" t="s">
        <v>5</v>
      </c>
      <c r="B383" s="50" t="s">
        <v>5</v>
      </c>
      <c r="C383" s="50" t="s">
        <v>5</v>
      </c>
      <c r="D383" s="50" t="s">
        <v>4</v>
      </c>
      <c r="E383" s="52" t="s">
        <v>1901</v>
      </c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8"/>
      <c r="U383" s="53"/>
      <c r="V383" s="54">
        <v>0.25</v>
      </c>
      <c r="W383" s="55" t="s">
        <v>1018</v>
      </c>
      <c r="X383" s="54"/>
      <c r="Y383" s="60"/>
      <c r="Z383" s="100"/>
      <c r="AA383" s="56"/>
      <c r="AB383" s="56"/>
      <c r="AC383" s="54"/>
    </row>
    <row r="384" spans="1:29" s="7" customFormat="1" outlineLevel="3" x14ac:dyDescent="0.25">
      <c r="A384" s="50" t="s">
        <v>5</v>
      </c>
      <c r="B384" s="50" t="s">
        <v>5</v>
      </c>
      <c r="C384" s="50" t="s">
        <v>5</v>
      </c>
      <c r="D384" s="50" t="s">
        <v>4</v>
      </c>
      <c r="E384" s="52" t="s">
        <v>1902</v>
      </c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8"/>
      <c r="U384" s="53"/>
      <c r="V384" s="54">
        <v>0.25</v>
      </c>
      <c r="W384" s="55" t="s">
        <v>1018</v>
      </c>
      <c r="X384" s="54"/>
      <c r="Y384" s="60"/>
      <c r="Z384" s="100"/>
      <c r="AA384" s="56"/>
      <c r="AB384" s="56"/>
      <c r="AC384" s="54"/>
    </row>
    <row r="385" spans="1:29" s="7" customFormat="1" outlineLevel="3" x14ac:dyDescent="0.25">
      <c r="A385" s="50" t="s">
        <v>5</v>
      </c>
      <c r="B385" s="50" t="s">
        <v>5</v>
      </c>
      <c r="C385" s="50" t="s">
        <v>5</v>
      </c>
      <c r="D385" s="50" t="s">
        <v>4</v>
      </c>
      <c r="E385" s="52" t="s">
        <v>1922</v>
      </c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8"/>
      <c r="U385" s="53"/>
      <c r="V385" s="54">
        <v>0.25</v>
      </c>
      <c r="W385" s="55" t="s">
        <v>1018</v>
      </c>
      <c r="X385" s="54"/>
      <c r="Y385" s="60"/>
      <c r="Z385" s="100"/>
      <c r="AA385" s="56"/>
      <c r="AB385" s="56"/>
      <c r="AC385" s="54"/>
    </row>
    <row r="386" spans="1:29" s="7" customFormat="1" outlineLevel="3" x14ac:dyDescent="0.25">
      <c r="A386" s="50" t="s">
        <v>5</v>
      </c>
      <c r="B386" s="50" t="s">
        <v>5</v>
      </c>
      <c r="C386" s="50" t="s">
        <v>5</v>
      </c>
      <c r="D386" s="50" t="s">
        <v>4</v>
      </c>
      <c r="E386" s="52" t="s">
        <v>1906</v>
      </c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8"/>
      <c r="U386" s="53"/>
      <c r="V386" s="54">
        <v>0.16</v>
      </c>
      <c r="W386" s="55" t="s">
        <v>1018</v>
      </c>
      <c r="X386" s="54"/>
      <c r="Y386" s="60"/>
      <c r="Z386" s="100"/>
      <c r="AA386" s="56"/>
      <c r="AB386" s="56"/>
      <c r="AC386" s="54"/>
    </row>
    <row r="387" spans="1:29" s="7" customFormat="1" outlineLevel="3" x14ac:dyDescent="0.25">
      <c r="A387" s="50" t="s">
        <v>5</v>
      </c>
      <c r="B387" s="50" t="s">
        <v>5</v>
      </c>
      <c r="C387" s="50" t="s">
        <v>5</v>
      </c>
      <c r="D387" s="50" t="s">
        <v>49</v>
      </c>
      <c r="E387" s="52" t="s">
        <v>1900</v>
      </c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8"/>
      <c r="U387" s="53"/>
      <c r="V387" s="54">
        <v>0.1</v>
      </c>
      <c r="W387" s="55" t="s">
        <v>1018</v>
      </c>
      <c r="X387" s="54"/>
      <c r="Y387" s="60"/>
      <c r="Z387" s="100"/>
      <c r="AA387" s="56"/>
      <c r="AB387" s="56"/>
      <c r="AC387" s="54"/>
    </row>
    <row r="388" spans="1:29" s="7" customFormat="1" outlineLevel="2" x14ac:dyDescent="0.25">
      <c r="A388" s="50" t="s">
        <v>5</v>
      </c>
      <c r="B388" s="50" t="s">
        <v>5</v>
      </c>
      <c r="C388" s="50" t="s">
        <v>4</v>
      </c>
      <c r="D388" s="51" t="s">
        <v>1050</v>
      </c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8"/>
      <c r="T388" s="58"/>
      <c r="U388" s="53" t="s">
        <v>2248</v>
      </c>
      <c r="V388" s="54">
        <v>1</v>
      </c>
      <c r="W388" s="55" t="s">
        <v>1019</v>
      </c>
      <c r="X388" s="54"/>
      <c r="Y388" s="54"/>
      <c r="Z388" s="100"/>
      <c r="AA388" s="56"/>
      <c r="AB388" s="56"/>
      <c r="AC388" s="54"/>
    </row>
    <row r="389" spans="1:29" s="7" customFormat="1" outlineLevel="3" x14ac:dyDescent="0.25">
      <c r="A389" s="50" t="s">
        <v>5</v>
      </c>
      <c r="B389" s="50" t="s">
        <v>5</v>
      </c>
      <c r="C389" s="50" t="s">
        <v>5</v>
      </c>
      <c r="D389" s="50" t="s">
        <v>4</v>
      </c>
      <c r="E389" s="52" t="s">
        <v>1059</v>
      </c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8"/>
      <c r="U389" s="53" t="s">
        <v>1060</v>
      </c>
      <c r="V389" s="54">
        <v>1</v>
      </c>
      <c r="W389" s="55" t="s">
        <v>1019</v>
      </c>
      <c r="X389" s="54"/>
      <c r="Y389" s="60"/>
      <c r="Z389" s="100"/>
      <c r="AA389" s="56"/>
      <c r="AB389" s="56"/>
      <c r="AC389" s="54"/>
    </row>
    <row r="390" spans="1:29" s="7" customFormat="1" outlineLevel="3" x14ac:dyDescent="0.25">
      <c r="A390" s="50" t="s">
        <v>5</v>
      </c>
      <c r="B390" s="50" t="s">
        <v>5</v>
      </c>
      <c r="C390" s="50" t="s">
        <v>5</v>
      </c>
      <c r="D390" s="50" t="s">
        <v>4</v>
      </c>
      <c r="E390" s="52" t="s">
        <v>226</v>
      </c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8"/>
      <c r="U390" s="53" t="s">
        <v>227</v>
      </c>
      <c r="V390" s="54">
        <v>2</v>
      </c>
      <c r="W390" s="55" t="s">
        <v>1019</v>
      </c>
      <c r="X390" s="54"/>
      <c r="Y390" s="60"/>
      <c r="Z390" s="100"/>
      <c r="AA390" s="56"/>
      <c r="AB390" s="56"/>
      <c r="AC390" s="54"/>
    </row>
    <row r="391" spans="1:29" s="7" customFormat="1" outlineLevel="3" x14ac:dyDescent="0.25">
      <c r="A391" s="50" t="s">
        <v>5</v>
      </c>
      <c r="B391" s="50" t="s">
        <v>5</v>
      </c>
      <c r="C391" s="50" t="s">
        <v>5</v>
      </c>
      <c r="D391" s="50" t="s">
        <v>4</v>
      </c>
      <c r="E391" s="52" t="s">
        <v>1901</v>
      </c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8"/>
      <c r="U391" s="53"/>
      <c r="V391" s="54">
        <v>0.65</v>
      </c>
      <c r="W391" s="55" t="s">
        <v>1018</v>
      </c>
      <c r="X391" s="54"/>
      <c r="Y391" s="60"/>
      <c r="Z391" s="100"/>
      <c r="AA391" s="56"/>
      <c r="AB391" s="56"/>
      <c r="AC391" s="54"/>
    </row>
    <row r="392" spans="1:29" s="7" customFormat="1" outlineLevel="3" x14ac:dyDescent="0.25">
      <c r="A392" s="50" t="s">
        <v>5</v>
      </c>
      <c r="B392" s="50" t="s">
        <v>5</v>
      </c>
      <c r="C392" s="50" t="s">
        <v>5</v>
      </c>
      <c r="D392" s="50" t="s">
        <v>4</v>
      </c>
      <c r="E392" s="52" t="s">
        <v>1902</v>
      </c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8"/>
      <c r="U392" s="53"/>
      <c r="V392" s="54">
        <v>0.65</v>
      </c>
      <c r="W392" s="55" t="s">
        <v>1018</v>
      </c>
      <c r="X392" s="54"/>
      <c r="Y392" s="60"/>
      <c r="Z392" s="100"/>
      <c r="AA392" s="56"/>
      <c r="AB392" s="56"/>
      <c r="AC392" s="54"/>
    </row>
    <row r="393" spans="1:29" s="7" customFormat="1" outlineLevel="3" x14ac:dyDescent="0.25">
      <c r="A393" s="50" t="s">
        <v>5</v>
      </c>
      <c r="B393" s="50" t="s">
        <v>5</v>
      </c>
      <c r="C393" s="50" t="s">
        <v>5</v>
      </c>
      <c r="D393" s="50" t="s">
        <v>49</v>
      </c>
      <c r="E393" s="52" t="s">
        <v>1061</v>
      </c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8"/>
      <c r="U393" s="53"/>
      <c r="V393" s="54">
        <v>0.57999999999999996</v>
      </c>
      <c r="W393" s="55" t="s">
        <v>1018</v>
      </c>
      <c r="X393" s="54"/>
      <c r="Y393" s="60"/>
      <c r="Z393" s="100"/>
      <c r="AA393" s="56"/>
      <c r="AB393" s="56"/>
      <c r="AC393" s="54"/>
    </row>
    <row r="394" spans="1:29" s="7" customFormat="1" outlineLevel="2" x14ac:dyDescent="0.25">
      <c r="A394" s="50" t="s">
        <v>5</v>
      </c>
      <c r="B394" s="50" t="s">
        <v>5</v>
      </c>
      <c r="C394" s="50" t="s">
        <v>4</v>
      </c>
      <c r="D394" s="51" t="s">
        <v>2508</v>
      </c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8"/>
      <c r="T394" s="58"/>
      <c r="U394" s="53" t="s">
        <v>2249</v>
      </c>
      <c r="V394" s="54">
        <v>1</v>
      </c>
      <c r="W394" s="55" t="s">
        <v>1019</v>
      </c>
      <c r="X394" s="54"/>
      <c r="Y394" s="54"/>
      <c r="Z394" s="100"/>
      <c r="AA394" s="56"/>
      <c r="AB394" s="56"/>
      <c r="AC394" s="54"/>
    </row>
    <row r="395" spans="1:29" s="7" customFormat="1" outlineLevel="3" x14ac:dyDescent="0.25">
      <c r="A395" s="50" t="s">
        <v>5</v>
      </c>
      <c r="B395" s="50" t="s">
        <v>5</v>
      </c>
      <c r="C395" s="50" t="s">
        <v>5</v>
      </c>
      <c r="D395" s="50" t="s">
        <v>4</v>
      </c>
      <c r="E395" s="52" t="s">
        <v>1062</v>
      </c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8"/>
      <c r="U395" s="53" t="s">
        <v>43</v>
      </c>
      <c r="V395" s="54">
        <v>1</v>
      </c>
      <c r="W395" s="55" t="s">
        <v>1019</v>
      </c>
      <c r="X395" s="54"/>
      <c r="Y395" s="60"/>
      <c r="Z395" s="100"/>
      <c r="AA395" s="56"/>
      <c r="AB395" s="56"/>
      <c r="AC395" s="54"/>
    </row>
    <row r="396" spans="1:29" s="7" customFormat="1" outlineLevel="3" x14ac:dyDescent="0.25">
      <c r="A396" s="50" t="s">
        <v>5</v>
      </c>
      <c r="B396" s="50" t="s">
        <v>5</v>
      </c>
      <c r="C396" s="50" t="s">
        <v>5</v>
      </c>
      <c r="D396" s="50" t="s">
        <v>4</v>
      </c>
      <c r="E396" s="52" t="s">
        <v>1063</v>
      </c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8"/>
      <c r="U396" s="53" t="s">
        <v>1064</v>
      </c>
      <c r="V396" s="54">
        <v>1</v>
      </c>
      <c r="W396" s="55" t="s">
        <v>1019</v>
      </c>
      <c r="X396" s="54"/>
      <c r="Y396" s="60"/>
      <c r="Z396" s="100"/>
      <c r="AA396" s="56"/>
      <c r="AB396" s="56"/>
      <c r="AC396" s="54"/>
    </row>
    <row r="397" spans="1:29" s="7" customFormat="1" outlineLevel="3" x14ac:dyDescent="0.25">
      <c r="A397" s="50" t="s">
        <v>5</v>
      </c>
      <c r="B397" s="50" t="s">
        <v>5</v>
      </c>
      <c r="C397" s="50" t="s">
        <v>5</v>
      </c>
      <c r="D397" s="50" t="s">
        <v>4</v>
      </c>
      <c r="E397" s="52" t="s">
        <v>226</v>
      </c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8"/>
      <c r="U397" s="53" t="s">
        <v>227</v>
      </c>
      <c r="V397" s="54">
        <v>2</v>
      </c>
      <c r="W397" s="55" t="s">
        <v>1019</v>
      </c>
      <c r="X397" s="54"/>
      <c r="Y397" s="60"/>
      <c r="Z397" s="100"/>
      <c r="AA397" s="56"/>
      <c r="AB397" s="56"/>
      <c r="AC397" s="54"/>
    </row>
    <row r="398" spans="1:29" s="7" customFormat="1" outlineLevel="3" x14ac:dyDescent="0.25">
      <c r="A398" s="50" t="s">
        <v>5</v>
      </c>
      <c r="B398" s="50" t="s">
        <v>5</v>
      </c>
      <c r="C398" s="50" t="s">
        <v>5</v>
      </c>
      <c r="D398" s="50" t="s">
        <v>4</v>
      </c>
      <c r="E398" s="52" t="s">
        <v>1901</v>
      </c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8"/>
      <c r="U398" s="53"/>
      <c r="V398" s="54">
        <v>1.4</v>
      </c>
      <c r="W398" s="55" t="s">
        <v>1018</v>
      </c>
      <c r="X398" s="54"/>
      <c r="Y398" s="60"/>
      <c r="Z398" s="100"/>
      <c r="AA398" s="56"/>
      <c r="AB398" s="56"/>
      <c r="AC398" s="54"/>
    </row>
    <row r="399" spans="1:29" s="7" customFormat="1" outlineLevel="3" x14ac:dyDescent="0.25">
      <c r="A399" s="50" t="s">
        <v>5</v>
      </c>
      <c r="B399" s="50" t="s">
        <v>5</v>
      </c>
      <c r="C399" s="50" t="s">
        <v>5</v>
      </c>
      <c r="D399" s="50" t="s">
        <v>4</v>
      </c>
      <c r="E399" s="52" t="s">
        <v>1902</v>
      </c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8"/>
      <c r="U399" s="53"/>
      <c r="V399" s="54">
        <v>1.4</v>
      </c>
      <c r="W399" s="55" t="s">
        <v>1018</v>
      </c>
      <c r="X399" s="54"/>
      <c r="Y399" s="60"/>
      <c r="Z399" s="100"/>
      <c r="AA399" s="56"/>
      <c r="AB399" s="56"/>
      <c r="AC399" s="54"/>
    </row>
    <row r="400" spans="1:29" s="7" customFormat="1" outlineLevel="3" x14ac:dyDescent="0.25">
      <c r="A400" s="50" t="s">
        <v>5</v>
      </c>
      <c r="B400" s="50" t="s">
        <v>5</v>
      </c>
      <c r="C400" s="50" t="s">
        <v>5</v>
      </c>
      <c r="D400" s="50" t="s">
        <v>49</v>
      </c>
      <c r="E400" s="52" t="s">
        <v>1061</v>
      </c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8"/>
      <c r="U400" s="53"/>
      <c r="V400" s="54">
        <v>1.2</v>
      </c>
      <c r="W400" s="55" t="s">
        <v>1018</v>
      </c>
      <c r="X400" s="54"/>
      <c r="Y400" s="60"/>
      <c r="Z400" s="100"/>
      <c r="AA400" s="56"/>
      <c r="AB400" s="56"/>
      <c r="AC400" s="54"/>
    </row>
    <row r="401" spans="1:29" s="7" customFormat="1" outlineLevel="2" x14ac:dyDescent="0.25">
      <c r="A401" s="50" t="s">
        <v>5</v>
      </c>
      <c r="B401" s="50" t="s">
        <v>5</v>
      </c>
      <c r="C401" s="50" t="s">
        <v>4</v>
      </c>
      <c r="D401" s="51" t="s">
        <v>2509</v>
      </c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8"/>
      <c r="T401" s="58"/>
      <c r="U401" s="53" t="s">
        <v>2250</v>
      </c>
      <c r="V401" s="54">
        <v>1</v>
      </c>
      <c r="W401" s="55" t="s">
        <v>1019</v>
      </c>
      <c r="X401" s="54"/>
      <c r="Y401" s="54"/>
      <c r="Z401" s="100"/>
      <c r="AA401" s="56"/>
      <c r="AB401" s="56"/>
      <c r="AC401" s="54"/>
    </row>
    <row r="402" spans="1:29" s="7" customFormat="1" outlineLevel="3" x14ac:dyDescent="0.25">
      <c r="A402" s="50" t="s">
        <v>5</v>
      </c>
      <c r="B402" s="50" t="s">
        <v>5</v>
      </c>
      <c r="C402" s="50" t="s">
        <v>5</v>
      </c>
      <c r="D402" s="50" t="s">
        <v>4</v>
      </c>
      <c r="E402" s="52" t="s">
        <v>932</v>
      </c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8"/>
      <c r="U402" s="53">
        <v>50375023</v>
      </c>
      <c r="V402" s="54">
        <v>1</v>
      </c>
      <c r="W402" s="55" t="s">
        <v>1019</v>
      </c>
      <c r="X402" s="54" t="s">
        <v>930</v>
      </c>
      <c r="Y402" s="59" t="s">
        <v>935</v>
      </c>
      <c r="Z402" s="100"/>
      <c r="AA402" s="56">
        <v>2.5</v>
      </c>
      <c r="AB402" s="56"/>
      <c r="AC402" s="54"/>
    </row>
    <row r="403" spans="1:29" s="7" customFormat="1" outlineLevel="3" x14ac:dyDescent="0.25">
      <c r="A403" s="50" t="s">
        <v>5</v>
      </c>
      <c r="B403" s="50" t="s">
        <v>5</v>
      </c>
      <c r="C403" s="50" t="s">
        <v>5</v>
      </c>
      <c r="D403" s="50" t="s">
        <v>4</v>
      </c>
      <c r="E403" s="52" t="s">
        <v>1076</v>
      </c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8"/>
      <c r="U403" s="62" t="s">
        <v>1078</v>
      </c>
      <c r="V403" s="54">
        <v>2</v>
      </c>
      <c r="W403" s="55" t="s">
        <v>1019</v>
      </c>
      <c r="X403" s="54" t="s">
        <v>930</v>
      </c>
      <c r="Y403" s="61" t="s">
        <v>1077</v>
      </c>
      <c r="Z403" s="100"/>
      <c r="AA403" s="56"/>
      <c r="AB403" s="56"/>
      <c r="AC403" s="54"/>
    </row>
    <row r="404" spans="1:29" s="7" customFormat="1" outlineLevel="3" x14ac:dyDescent="0.25">
      <c r="A404" s="50" t="s">
        <v>5</v>
      </c>
      <c r="B404" s="50" t="s">
        <v>5</v>
      </c>
      <c r="C404" s="50" t="s">
        <v>5</v>
      </c>
      <c r="D404" s="50" t="s">
        <v>4</v>
      </c>
      <c r="E404" s="52" t="s">
        <v>230</v>
      </c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8"/>
      <c r="U404" s="53" t="s">
        <v>231</v>
      </c>
      <c r="V404" s="54">
        <v>2</v>
      </c>
      <c r="W404" s="55" t="s">
        <v>1019</v>
      </c>
      <c r="X404" s="54"/>
      <c r="Y404" s="60"/>
      <c r="Z404" s="100"/>
      <c r="AA404" s="56"/>
      <c r="AB404" s="56"/>
      <c r="AC404" s="54"/>
    </row>
    <row r="405" spans="1:29" s="7" customFormat="1" outlineLevel="3" x14ac:dyDescent="0.25">
      <c r="A405" s="50" t="s">
        <v>5</v>
      </c>
      <c r="B405" s="50" t="s">
        <v>5</v>
      </c>
      <c r="C405" s="50" t="s">
        <v>5</v>
      </c>
      <c r="D405" s="50" t="s">
        <v>4</v>
      </c>
      <c r="E405" s="52" t="s">
        <v>1918</v>
      </c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8"/>
      <c r="U405" s="53"/>
      <c r="V405" s="54">
        <v>0.75</v>
      </c>
      <c r="W405" s="55" t="s">
        <v>1018</v>
      </c>
      <c r="X405" s="54"/>
      <c r="Y405" s="60"/>
      <c r="Z405" s="100"/>
      <c r="AA405" s="56"/>
      <c r="AB405" s="56"/>
      <c r="AC405" s="54"/>
    </row>
    <row r="406" spans="1:29" s="7" customFormat="1" outlineLevel="3" x14ac:dyDescent="0.25">
      <c r="A406" s="50" t="s">
        <v>5</v>
      </c>
      <c r="B406" s="50" t="s">
        <v>5</v>
      </c>
      <c r="C406" s="50" t="s">
        <v>5</v>
      </c>
      <c r="D406" s="50" t="s">
        <v>4</v>
      </c>
      <c r="E406" s="52" t="s">
        <v>1917</v>
      </c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8"/>
      <c r="U406" s="53"/>
      <c r="V406" s="54">
        <v>0.75</v>
      </c>
      <c r="W406" s="55" t="s">
        <v>1018</v>
      </c>
      <c r="X406" s="54"/>
      <c r="Y406" s="60"/>
      <c r="Z406" s="100"/>
      <c r="AA406" s="56"/>
      <c r="AB406" s="56"/>
      <c r="AC406" s="54"/>
    </row>
    <row r="407" spans="1:29" s="7" customFormat="1" outlineLevel="3" x14ac:dyDescent="0.25">
      <c r="A407" s="50" t="s">
        <v>5</v>
      </c>
      <c r="B407" s="50" t="s">
        <v>5</v>
      </c>
      <c r="C407" s="50" t="s">
        <v>5</v>
      </c>
      <c r="D407" s="50" t="s">
        <v>49</v>
      </c>
      <c r="E407" s="52" t="s">
        <v>1065</v>
      </c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8"/>
      <c r="U407" s="53"/>
      <c r="V407" s="54">
        <v>0.65</v>
      </c>
      <c r="W407" s="55" t="s">
        <v>1018</v>
      </c>
      <c r="X407" s="54"/>
      <c r="Y407" s="60"/>
      <c r="Z407" s="100"/>
      <c r="AA407" s="56"/>
      <c r="AB407" s="56"/>
      <c r="AC407" s="54"/>
    </row>
    <row r="408" spans="1:29" s="7" customFormat="1" outlineLevel="2" x14ac:dyDescent="0.25">
      <c r="A408" s="50" t="s">
        <v>5</v>
      </c>
      <c r="B408" s="50" t="s">
        <v>5</v>
      </c>
      <c r="C408" s="50" t="s">
        <v>4</v>
      </c>
      <c r="D408" s="51" t="s">
        <v>1052</v>
      </c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8"/>
      <c r="T408" s="58"/>
      <c r="U408" s="53" t="s">
        <v>2251</v>
      </c>
      <c r="V408" s="54">
        <v>1</v>
      </c>
      <c r="W408" s="55" t="s">
        <v>1019</v>
      </c>
      <c r="X408" s="54"/>
      <c r="Y408" s="54"/>
      <c r="Z408" s="100"/>
      <c r="AA408" s="56"/>
      <c r="AB408" s="56"/>
      <c r="AC408" s="54"/>
    </row>
    <row r="409" spans="1:29" s="7" customFormat="1" outlineLevel="3" x14ac:dyDescent="0.25">
      <c r="A409" s="50" t="s">
        <v>5</v>
      </c>
      <c r="B409" s="50" t="s">
        <v>5</v>
      </c>
      <c r="C409" s="50" t="s">
        <v>5</v>
      </c>
      <c r="D409" s="50" t="s">
        <v>4</v>
      </c>
      <c r="E409" s="52" t="s">
        <v>45</v>
      </c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8"/>
      <c r="U409" s="53" t="s">
        <v>46</v>
      </c>
      <c r="V409" s="54">
        <v>1</v>
      </c>
      <c r="W409" s="55" t="s">
        <v>1019</v>
      </c>
      <c r="X409" s="54" t="s">
        <v>44</v>
      </c>
      <c r="Y409" s="60"/>
      <c r="Z409" s="100"/>
      <c r="AA409" s="56">
        <v>83.16</v>
      </c>
      <c r="AB409" s="56"/>
      <c r="AC409" s="54"/>
    </row>
    <row r="410" spans="1:29" s="7" customFormat="1" outlineLevel="3" x14ac:dyDescent="0.25">
      <c r="A410" s="50" t="s">
        <v>5</v>
      </c>
      <c r="B410" s="50" t="s">
        <v>5</v>
      </c>
      <c r="C410" s="50" t="s">
        <v>5</v>
      </c>
      <c r="D410" s="50" t="s">
        <v>4</v>
      </c>
      <c r="E410" s="52" t="s">
        <v>230</v>
      </c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8"/>
      <c r="U410" s="53" t="s">
        <v>231</v>
      </c>
      <c r="V410" s="54">
        <v>2</v>
      </c>
      <c r="W410" s="55" t="s">
        <v>1019</v>
      </c>
      <c r="X410" s="54"/>
      <c r="Y410" s="60"/>
      <c r="Z410" s="100"/>
      <c r="AA410" s="56"/>
      <c r="AB410" s="56"/>
      <c r="AC410" s="54"/>
    </row>
    <row r="411" spans="1:29" s="7" customFormat="1" outlineLevel="3" x14ac:dyDescent="0.25">
      <c r="A411" s="50" t="s">
        <v>5</v>
      </c>
      <c r="B411" s="50" t="s">
        <v>5</v>
      </c>
      <c r="C411" s="50" t="s">
        <v>5</v>
      </c>
      <c r="D411" s="50" t="s">
        <v>4</v>
      </c>
      <c r="E411" s="52" t="s">
        <v>50</v>
      </c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8"/>
      <c r="U411" s="53">
        <v>19210000</v>
      </c>
      <c r="V411" s="54">
        <v>1</v>
      </c>
      <c r="W411" s="55" t="s">
        <v>1019</v>
      </c>
      <c r="X411" s="54" t="s">
        <v>51</v>
      </c>
      <c r="Y411" s="60" t="s">
        <v>52</v>
      </c>
      <c r="Z411" s="100"/>
      <c r="AA411" s="56">
        <v>630.89</v>
      </c>
      <c r="AB411" s="56"/>
      <c r="AC411" s="54"/>
    </row>
    <row r="412" spans="1:29" s="7" customFormat="1" outlineLevel="3" x14ac:dyDescent="0.25">
      <c r="A412" s="50" t="s">
        <v>5</v>
      </c>
      <c r="B412" s="50" t="s">
        <v>5</v>
      </c>
      <c r="C412" s="50" t="s">
        <v>5</v>
      </c>
      <c r="D412" s="50" t="s">
        <v>4</v>
      </c>
      <c r="E412" s="52" t="s">
        <v>1918</v>
      </c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8"/>
      <c r="U412" s="53"/>
      <c r="V412" s="54">
        <v>0.5</v>
      </c>
      <c r="W412" s="55" t="s">
        <v>1018</v>
      </c>
      <c r="X412" s="54"/>
      <c r="Y412" s="60"/>
      <c r="Z412" s="100"/>
      <c r="AA412" s="56"/>
      <c r="AB412" s="56"/>
      <c r="AC412" s="54"/>
    </row>
    <row r="413" spans="1:29" s="7" customFormat="1" outlineLevel="3" x14ac:dyDescent="0.25">
      <c r="A413" s="50" t="s">
        <v>5</v>
      </c>
      <c r="B413" s="50" t="s">
        <v>5</v>
      </c>
      <c r="C413" s="50" t="s">
        <v>5</v>
      </c>
      <c r="D413" s="50" t="s">
        <v>4</v>
      </c>
      <c r="E413" s="52" t="s">
        <v>1917</v>
      </c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8"/>
      <c r="U413" s="53"/>
      <c r="V413" s="54">
        <v>0.5</v>
      </c>
      <c r="W413" s="55" t="s">
        <v>1018</v>
      </c>
      <c r="X413" s="54"/>
      <c r="Y413" s="60"/>
      <c r="Z413" s="100"/>
      <c r="AA413" s="56"/>
      <c r="AB413" s="56"/>
      <c r="AC413" s="54"/>
    </row>
    <row r="414" spans="1:29" s="7" customFormat="1" outlineLevel="3" x14ac:dyDescent="0.25">
      <c r="A414" s="50" t="s">
        <v>5</v>
      </c>
      <c r="B414" s="50" t="s">
        <v>5</v>
      </c>
      <c r="C414" s="50" t="s">
        <v>5</v>
      </c>
      <c r="D414" s="50" t="s">
        <v>49</v>
      </c>
      <c r="E414" s="52" t="s">
        <v>1065</v>
      </c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8"/>
      <c r="U414" s="53"/>
      <c r="V414" s="54">
        <v>0.45</v>
      </c>
      <c r="W414" s="55" t="s">
        <v>1018</v>
      </c>
      <c r="X414" s="54"/>
      <c r="Y414" s="60"/>
      <c r="Z414" s="100"/>
      <c r="AA414" s="56"/>
      <c r="AB414" s="56"/>
      <c r="AC414" s="54"/>
    </row>
    <row r="415" spans="1:29" s="7" customFormat="1" outlineLevel="2" x14ac:dyDescent="0.25">
      <c r="A415" s="50" t="s">
        <v>5</v>
      </c>
      <c r="B415" s="50" t="s">
        <v>5</v>
      </c>
      <c r="C415" s="50" t="s">
        <v>4</v>
      </c>
      <c r="D415" s="51" t="s">
        <v>2510</v>
      </c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8"/>
      <c r="T415" s="58"/>
      <c r="U415" s="53" t="s">
        <v>2252</v>
      </c>
      <c r="V415" s="54">
        <v>1</v>
      </c>
      <c r="W415" s="55" t="s">
        <v>1019</v>
      </c>
      <c r="X415" s="54"/>
      <c r="Y415" s="54"/>
      <c r="Z415" s="100"/>
      <c r="AA415" s="56"/>
      <c r="AB415" s="56"/>
      <c r="AC415" s="54"/>
    </row>
    <row r="416" spans="1:29" s="7" customFormat="1" outlineLevel="3" x14ac:dyDescent="0.25">
      <c r="A416" s="50" t="s">
        <v>5</v>
      </c>
      <c r="B416" s="50" t="s">
        <v>5</v>
      </c>
      <c r="C416" s="50" t="s">
        <v>5</v>
      </c>
      <c r="D416" s="50" t="s">
        <v>4</v>
      </c>
      <c r="E416" s="52" t="s">
        <v>1062</v>
      </c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8"/>
      <c r="U416" s="53" t="s">
        <v>43</v>
      </c>
      <c r="V416" s="54">
        <v>1</v>
      </c>
      <c r="W416" s="55" t="s">
        <v>1019</v>
      </c>
      <c r="X416" s="54"/>
      <c r="Y416" s="60"/>
      <c r="Z416" s="100"/>
      <c r="AA416" s="56"/>
      <c r="AB416" s="56"/>
      <c r="AC416" s="54"/>
    </row>
    <row r="417" spans="1:29" s="7" customFormat="1" outlineLevel="3" x14ac:dyDescent="0.25">
      <c r="A417" s="50" t="s">
        <v>5</v>
      </c>
      <c r="B417" s="50" t="s">
        <v>5</v>
      </c>
      <c r="C417" s="50" t="s">
        <v>5</v>
      </c>
      <c r="D417" s="50" t="s">
        <v>4</v>
      </c>
      <c r="E417" s="52" t="s">
        <v>1069</v>
      </c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8"/>
      <c r="U417" s="53" t="s">
        <v>227</v>
      </c>
      <c r="V417" s="54">
        <v>4</v>
      </c>
      <c r="W417" s="55" t="s">
        <v>1019</v>
      </c>
      <c r="X417" s="54"/>
      <c r="Y417" s="60"/>
      <c r="Z417" s="100"/>
      <c r="AA417" s="56"/>
      <c r="AB417" s="56"/>
      <c r="AC417" s="54"/>
    </row>
    <row r="418" spans="1:29" s="7" customFormat="1" outlineLevel="3" x14ac:dyDescent="0.25">
      <c r="A418" s="50" t="s">
        <v>5</v>
      </c>
      <c r="B418" s="50" t="s">
        <v>5</v>
      </c>
      <c r="C418" s="50" t="s">
        <v>5</v>
      </c>
      <c r="D418" s="50" t="s">
        <v>4</v>
      </c>
      <c r="E418" s="52" t="s">
        <v>1070</v>
      </c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8"/>
      <c r="U418" s="53"/>
      <c r="V418" s="54">
        <v>0.6</v>
      </c>
      <c r="W418" s="55" t="s">
        <v>1018</v>
      </c>
      <c r="X418" s="54"/>
      <c r="Y418" s="60"/>
      <c r="Z418" s="100"/>
      <c r="AA418" s="56"/>
      <c r="AB418" s="56"/>
      <c r="AC418" s="54"/>
    </row>
    <row r="419" spans="1:29" s="7" customFormat="1" outlineLevel="3" x14ac:dyDescent="0.25">
      <c r="A419" s="50" t="s">
        <v>5</v>
      </c>
      <c r="B419" s="50" t="s">
        <v>5</v>
      </c>
      <c r="C419" s="50" t="s">
        <v>5</v>
      </c>
      <c r="D419" s="50" t="s">
        <v>4</v>
      </c>
      <c r="E419" s="52" t="s">
        <v>1071</v>
      </c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8"/>
      <c r="U419" s="53"/>
      <c r="V419" s="54">
        <v>0.6</v>
      </c>
      <c r="W419" s="55" t="s">
        <v>1018</v>
      </c>
      <c r="X419" s="54"/>
      <c r="Y419" s="60"/>
      <c r="Z419" s="100"/>
      <c r="AA419" s="56"/>
      <c r="AB419" s="56"/>
      <c r="AC419" s="54"/>
    </row>
    <row r="420" spans="1:29" s="7" customFormat="1" outlineLevel="3" x14ac:dyDescent="0.25">
      <c r="A420" s="50" t="s">
        <v>5</v>
      </c>
      <c r="B420" s="50" t="s">
        <v>5</v>
      </c>
      <c r="C420" s="50" t="s">
        <v>5</v>
      </c>
      <c r="D420" s="50" t="s">
        <v>49</v>
      </c>
      <c r="E420" s="52" t="s">
        <v>1065</v>
      </c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8"/>
      <c r="U420" s="53"/>
      <c r="V420" s="54">
        <v>0.55000000000000004</v>
      </c>
      <c r="W420" s="55" t="s">
        <v>1018</v>
      </c>
      <c r="X420" s="54"/>
      <c r="Y420" s="60"/>
      <c r="Z420" s="100"/>
      <c r="AA420" s="56"/>
      <c r="AB420" s="56"/>
      <c r="AC420" s="54"/>
    </row>
    <row r="421" spans="1:29" s="7" customFormat="1" outlineLevel="2" x14ac:dyDescent="0.25">
      <c r="A421" s="50" t="s">
        <v>5</v>
      </c>
      <c r="B421" s="50" t="s">
        <v>5</v>
      </c>
      <c r="C421" s="50" t="s">
        <v>4</v>
      </c>
      <c r="D421" s="51" t="s">
        <v>1053</v>
      </c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8"/>
      <c r="T421" s="58"/>
      <c r="U421" s="53" t="s">
        <v>2253</v>
      </c>
      <c r="V421" s="54">
        <v>1</v>
      </c>
      <c r="W421" s="55" t="s">
        <v>1019</v>
      </c>
      <c r="X421" s="54"/>
      <c r="Y421" s="54"/>
      <c r="Z421" s="100"/>
      <c r="AA421" s="56"/>
      <c r="AB421" s="56"/>
      <c r="AC421" s="54"/>
    </row>
    <row r="422" spans="1:29" s="7" customFormat="1" outlineLevel="3" x14ac:dyDescent="0.25">
      <c r="A422" s="50" t="s">
        <v>5</v>
      </c>
      <c r="B422" s="50" t="s">
        <v>5</v>
      </c>
      <c r="C422" s="50" t="s">
        <v>5</v>
      </c>
      <c r="D422" s="50" t="s">
        <v>4</v>
      </c>
      <c r="E422" s="52" t="s">
        <v>45</v>
      </c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8"/>
      <c r="U422" s="53" t="s">
        <v>46</v>
      </c>
      <c r="V422" s="54">
        <v>1</v>
      </c>
      <c r="W422" s="55" t="s">
        <v>1019</v>
      </c>
      <c r="X422" s="54" t="s">
        <v>44</v>
      </c>
      <c r="Y422" s="60"/>
      <c r="Z422" s="100"/>
      <c r="AA422" s="56">
        <v>83.16</v>
      </c>
      <c r="AB422" s="56"/>
      <c r="AC422" s="54"/>
    </row>
    <row r="423" spans="1:29" s="7" customFormat="1" outlineLevel="3" x14ac:dyDescent="0.25">
      <c r="A423" s="50" t="s">
        <v>5</v>
      </c>
      <c r="B423" s="50" t="s">
        <v>5</v>
      </c>
      <c r="C423" s="50" t="s">
        <v>5</v>
      </c>
      <c r="D423" s="50" t="s">
        <v>4</v>
      </c>
      <c r="E423" s="52" t="s">
        <v>226</v>
      </c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8"/>
      <c r="U423" s="53" t="s">
        <v>227</v>
      </c>
      <c r="V423" s="54">
        <v>2</v>
      </c>
      <c r="W423" s="55" t="s">
        <v>1019</v>
      </c>
      <c r="X423" s="54"/>
      <c r="Y423" s="60"/>
      <c r="Z423" s="100"/>
      <c r="AA423" s="56"/>
      <c r="AB423" s="56"/>
      <c r="AC423" s="54"/>
    </row>
    <row r="424" spans="1:29" s="7" customFormat="1" outlineLevel="3" x14ac:dyDescent="0.25">
      <c r="A424" s="50" t="s">
        <v>5</v>
      </c>
      <c r="B424" s="50" t="s">
        <v>5</v>
      </c>
      <c r="C424" s="50" t="s">
        <v>5</v>
      </c>
      <c r="D424" s="50" t="s">
        <v>4</v>
      </c>
      <c r="E424" s="52" t="s">
        <v>1073</v>
      </c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8"/>
      <c r="U424" s="53" t="s">
        <v>19</v>
      </c>
      <c r="V424" s="54">
        <v>1</v>
      </c>
      <c r="W424" s="55" t="s">
        <v>1019</v>
      </c>
      <c r="X424" s="54" t="s">
        <v>8</v>
      </c>
      <c r="Y424" s="60" t="s">
        <v>20</v>
      </c>
      <c r="Z424" s="100"/>
      <c r="AA424" s="56">
        <v>218</v>
      </c>
      <c r="AB424" s="56"/>
      <c r="AC424" s="54" t="s">
        <v>181</v>
      </c>
    </row>
    <row r="425" spans="1:29" s="7" customFormat="1" outlineLevel="3" x14ac:dyDescent="0.25">
      <c r="A425" s="50" t="s">
        <v>5</v>
      </c>
      <c r="B425" s="50" t="s">
        <v>5</v>
      </c>
      <c r="C425" s="50" t="s">
        <v>5</v>
      </c>
      <c r="D425" s="50" t="s">
        <v>4</v>
      </c>
      <c r="E425" s="52" t="s">
        <v>1901</v>
      </c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8"/>
      <c r="U425" s="53"/>
      <c r="V425" s="54">
        <v>1</v>
      </c>
      <c r="W425" s="55" t="s">
        <v>1018</v>
      </c>
      <c r="X425" s="54"/>
      <c r="Y425" s="60"/>
      <c r="Z425" s="100"/>
      <c r="AA425" s="56"/>
      <c r="AB425" s="56"/>
      <c r="AC425" s="54"/>
    </row>
    <row r="426" spans="1:29" s="7" customFormat="1" outlineLevel="3" x14ac:dyDescent="0.25">
      <c r="A426" s="50" t="s">
        <v>5</v>
      </c>
      <c r="B426" s="50" t="s">
        <v>5</v>
      </c>
      <c r="C426" s="50" t="s">
        <v>5</v>
      </c>
      <c r="D426" s="50" t="s">
        <v>4</v>
      </c>
      <c r="E426" s="52" t="s">
        <v>1902</v>
      </c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8"/>
      <c r="U426" s="53"/>
      <c r="V426" s="54">
        <v>1</v>
      </c>
      <c r="W426" s="55" t="s">
        <v>1018</v>
      </c>
      <c r="X426" s="54"/>
      <c r="Y426" s="60"/>
      <c r="Z426" s="100"/>
      <c r="AA426" s="56"/>
      <c r="AB426" s="56"/>
      <c r="AC426" s="54"/>
    </row>
    <row r="427" spans="1:29" s="7" customFormat="1" outlineLevel="3" x14ac:dyDescent="0.25">
      <c r="A427" s="50" t="s">
        <v>5</v>
      </c>
      <c r="B427" s="50" t="s">
        <v>5</v>
      </c>
      <c r="C427" s="50" t="s">
        <v>5</v>
      </c>
      <c r="D427" s="50" t="s">
        <v>4</v>
      </c>
      <c r="E427" s="52" t="s">
        <v>1061</v>
      </c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8"/>
      <c r="U427" s="53"/>
      <c r="V427" s="54">
        <v>0.9</v>
      </c>
      <c r="W427" s="55" t="s">
        <v>1018</v>
      </c>
      <c r="X427" s="54"/>
      <c r="Y427" s="60"/>
      <c r="Z427" s="100"/>
      <c r="AA427" s="56"/>
      <c r="AB427" s="56"/>
      <c r="AC427" s="54"/>
    </row>
    <row r="428" spans="1:29" s="7" customFormat="1" outlineLevel="3" x14ac:dyDescent="0.25">
      <c r="A428" s="50" t="s">
        <v>5</v>
      </c>
      <c r="B428" s="50" t="s">
        <v>5</v>
      </c>
      <c r="C428" s="50" t="s">
        <v>5</v>
      </c>
      <c r="D428" s="50" t="s">
        <v>49</v>
      </c>
      <c r="E428" s="52" t="s">
        <v>1072</v>
      </c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8"/>
      <c r="U428" s="53"/>
      <c r="V428" s="54">
        <v>0.1</v>
      </c>
      <c r="W428" s="55" t="s">
        <v>1018</v>
      </c>
      <c r="X428" s="54"/>
      <c r="Y428" s="60"/>
      <c r="Z428" s="100"/>
      <c r="AA428" s="56"/>
      <c r="AB428" s="56"/>
      <c r="AC428" s="54"/>
    </row>
    <row r="429" spans="1:29" s="7" customFormat="1" outlineLevel="2" x14ac:dyDescent="0.25">
      <c r="A429" s="50" t="s">
        <v>5</v>
      </c>
      <c r="B429" s="50" t="s">
        <v>5</v>
      </c>
      <c r="C429" s="50" t="s">
        <v>4</v>
      </c>
      <c r="D429" s="51" t="s">
        <v>2511</v>
      </c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8"/>
      <c r="T429" s="58"/>
      <c r="U429" s="53" t="s">
        <v>2254</v>
      </c>
      <c r="V429" s="54">
        <v>1</v>
      </c>
      <c r="W429" s="55" t="s">
        <v>1019</v>
      </c>
      <c r="X429" s="54"/>
      <c r="Y429" s="54"/>
      <c r="Z429" s="100"/>
      <c r="AA429" s="56"/>
      <c r="AB429" s="56"/>
      <c r="AC429" s="54"/>
    </row>
    <row r="430" spans="1:29" s="7" customFormat="1" outlineLevel="3" x14ac:dyDescent="0.25">
      <c r="A430" s="50" t="s">
        <v>5</v>
      </c>
      <c r="B430" s="50" t="s">
        <v>5</v>
      </c>
      <c r="C430" s="50" t="s">
        <v>5</v>
      </c>
      <c r="D430" s="50" t="s">
        <v>4</v>
      </c>
      <c r="E430" s="52" t="s">
        <v>47</v>
      </c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8"/>
      <c r="U430" s="53" t="s">
        <v>48</v>
      </c>
      <c r="V430" s="54">
        <v>1</v>
      </c>
      <c r="W430" s="55" t="s">
        <v>1019</v>
      </c>
      <c r="X430" s="54" t="s">
        <v>44</v>
      </c>
      <c r="Y430" s="60"/>
      <c r="Z430" s="100"/>
      <c r="AA430" s="56">
        <v>17.71</v>
      </c>
      <c r="AB430" s="56"/>
      <c r="AC430" s="54"/>
    </row>
    <row r="431" spans="1:29" s="7" customFormat="1" outlineLevel="3" x14ac:dyDescent="0.25">
      <c r="A431" s="50" t="s">
        <v>5</v>
      </c>
      <c r="B431" s="50" t="s">
        <v>5</v>
      </c>
      <c r="C431" s="50" t="s">
        <v>5</v>
      </c>
      <c r="D431" s="50" t="s">
        <v>4</v>
      </c>
      <c r="E431" s="52" t="s">
        <v>933</v>
      </c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8"/>
      <c r="U431" s="53">
        <v>50375103</v>
      </c>
      <c r="V431" s="54">
        <v>1</v>
      </c>
      <c r="W431" s="55" t="s">
        <v>1019</v>
      </c>
      <c r="X431" s="54" t="s">
        <v>930</v>
      </c>
      <c r="Y431" s="59" t="s">
        <v>934</v>
      </c>
      <c r="Z431" s="100"/>
      <c r="AA431" s="56">
        <v>1.1299999999999999</v>
      </c>
      <c r="AB431" s="56"/>
      <c r="AC431" s="54"/>
    </row>
    <row r="432" spans="1:29" s="7" customFormat="1" outlineLevel="3" x14ac:dyDescent="0.25">
      <c r="A432" s="50" t="s">
        <v>5</v>
      </c>
      <c r="B432" s="50" t="s">
        <v>5</v>
      </c>
      <c r="C432" s="50" t="s">
        <v>5</v>
      </c>
      <c r="D432" s="50" t="s">
        <v>4</v>
      </c>
      <c r="E432" s="52" t="s">
        <v>1076</v>
      </c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8"/>
      <c r="U432" s="62" t="s">
        <v>1078</v>
      </c>
      <c r="V432" s="54">
        <v>10</v>
      </c>
      <c r="W432" s="55" t="s">
        <v>1019</v>
      </c>
      <c r="X432" s="54" t="s">
        <v>930</v>
      </c>
      <c r="Y432" s="61" t="s">
        <v>1077</v>
      </c>
      <c r="Z432" s="100"/>
      <c r="AA432" s="56"/>
      <c r="AB432" s="56"/>
      <c r="AC432" s="54"/>
    </row>
    <row r="433" spans="1:29" s="7" customFormat="1" outlineLevel="3" x14ac:dyDescent="0.25">
      <c r="A433" s="50" t="s">
        <v>5</v>
      </c>
      <c r="B433" s="50" t="s">
        <v>5</v>
      </c>
      <c r="C433" s="50" t="s">
        <v>5</v>
      </c>
      <c r="D433" s="50" t="s">
        <v>4</v>
      </c>
      <c r="E433" s="52" t="s">
        <v>230</v>
      </c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8"/>
      <c r="U433" s="53" t="s">
        <v>231</v>
      </c>
      <c r="V433" s="54">
        <v>2</v>
      </c>
      <c r="W433" s="55" t="s">
        <v>1019</v>
      </c>
      <c r="X433" s="54"/>
      <c r="Y433" s="60"/>
      <c r="Z433" s="100"/>
      <c r="AA433" s="56"/>
      <c r="AB433" s="56"/>
      <c r="AC433" s="54"/>
    </row>
    <row r="434" spans="1:29" s="7" customFormat="1" outlineLevel="3" x14ac:dyDescent="0.25">
      <c r="A434" s="50" t="s">
        <v>5</v>
      </c>
      <c r="B434" s="50" t="s">
        <v>5</v>
      </c>
      <c r="C434" s="50" t="s">
        <v>5</v>
      </c>
      <c r="D434" s="50" t="s">
        <v>4</v>
      </c>
      <c r="E434" s="52" t="s">
        <v>1069</v>
      </c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8"/>
      <c r="U434" s="53" t="s">
        <v>1075</v>
      </c>
      <c r="V434" s="54">
        <v>1</v>
      </c>
      <c r="W434" s="55" t="s">
        <v>1019</v>
      </c>
      <c r="X434" s="54"/>
      <c r="Y434" s="60"/>
      <c r="Z434" s="100"/>
      <c r="AA434" s="56"/>
      <c r="AB434" s="56"/>
      <c r="AC434" s="54"/>
    </row>
    <row r="435" spans="1:29" s="7" customFormat="1" outlineLevel="3" x14ac:dyDescent="0.25">
      <c r="A435" s="50" t="s">
        <v>5</v>
      </c>
      <c r="B435" s="50" t="s">
        <v>5</v>
      </c>
      <c r="C435" s="50" t="s">
        <v>5</v>
      </c>
      <c r="D435" s="50" t="s">
        <v>4</v>
      </c>
      <c r="E435" s="52" t="s">
        <v>1903</v>
      </c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8"/>
      <c r="U435" s="53"/>
      <c r="V435" s="54">
        <v>5.8</v>
      </c>
      <c r="W435" s="55" t="s">
        <v>1018</v>
      </c>
      <c r="X435" s="54"/>
      <c r="Y435" s="60"/>
      <c r="Z435" s="100"/>
      <c r="AA435" s="56"/>
      <c r="AB435" s="56"/>
      <c r="AC435" s="54"/>
    </row>
    <row r="436" spans="1:29" s="7" customFormat="1" outlineLevel="3" x14ac:dyDescent="0.25">
      <c r="A436" s="50" t="s">
        <v>5</v>
      </c>
      <c r="B436" s="50" t="s">
        <v>5</v>
      </c>
      <c r="C436" s="50" t="s">
        <v>5</v>
      </c>
      <c r="D436" s="50" t="s">
        <v>4</v>
      </c>
      <c r="E436" s="52" t="s">
        <v>1918</v>
      </c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8"/>
      <c r="U436" s="53"/>
      <c r="V436" s="54">
        <v>1</v>
      </c>
      <c r="W436" s="55" t="s">
        <v>1018</v>
      </c>
      <c r="X436" s="54"/>
      <c r="Y436" s="60"/>
      <c r="Z436" s="100"/>
      <c r="AA436" s="56"/>
      <c r="AB436" s="56"/>
      <c r="AC436" s="54"/>
    </row>
    <row r="437" spans="1:29" s="7" customFormat="1" outlineLevel="3" x14ac:dyDescent="0.25">
      <c r="A437" s="50" t="s">
        <v>5</v>
      </c>
      <c r="B437" s="50" t="s">
        <v>5</v>
      </c>
      <c r="C437" s="50" t="s">
        <v>5</v>
      </c>
      <c r="D437" s="50" t="s">
        <v>4</v>
      </c>
      <c r="E437" s="52" t="s">
        <v>1917</v>
      </c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8"/>
      <c r="U437" s="53"/>
      <c r="V437" s="54">
        <v>1.4</v>
      </c>
      <c r="W437" s="55" t="s">
        <v>1018</v>
      </c>
      <c r="X437" s="54"/>
      <c r="Y437" s="60"/>
      <c r="Z437" s="100"/>
      <c r="AA437" s="56"/>
      <c r="AB437" s="56"/>
      <c r="AC437" s="54"/>
    </row>
    <row r="438" spans="1:29" s="7" customFormat="1" outlineLevel="3" x14ac:dyDescent="0.25">
      <c r="A438" s="50" t="s">
        <v>5</v>
      </c>
      <c r="B438" s="50" t="s">
        <v>5</v>
      </c>
      <c r="C438" s="50" t="s">
        <v>5</v>
      </c>
      <c r="D438" s="50" t="s">
        <v>4</v>
      </c>
      <c r="E438" s="52" t="s">
        <v>1061</v>
      </c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8"/>
      <c r="U438" s="53"/>
      <c r="V438" s="54">
        <v>1</v>
      </c>
      <c r="W438" s="55" t="s">
        <v>1018</v>
      </c>
      <c r="X438" s="54"/>
      <c r="Y438" s="60"/>
      <c r="Z438" s="100"/>
      <c r="AA438" s="56"/>
      <c r="AB438" s="56"/>
      <c r="AC438" s="54"/>
    </row>
    <row r="439" spans="1:29" s="7" customFormat="1" outlineLevel="3" x14ac:dyDescent="0.25">
      <c r="A439" s="50" t="s">
        <v>5</v>
      </c>
      <c r="B439" s="50" t="s">
        <v>5</v>
      </c>
      <c r="C439" s="50" t="s">
        <v>5</v>
      </c>
      <c r="D439" s="50" t="s">
        <v>4</v>
      </c>
      <c r="E439" s="52" t="s">
        <v>1074</v>
      </c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8"/>
      <c r="U439" s="53"/>
      <c r="V439" s="54">
        <v>0.7</v>
      </c>
      <c r="W439" s="55" t="s">
        <v>1018</v>
      </c>
      <c r="X439" s="54"/>
      <c r="Y439" s="60"/>
      <c r="Z439" s="100"/>
      <c r="AA439" s="56"/>
      <c r="AB439" s="56"/>
      <c r="AC439" s="54"/>
    </row>
    <row r="440" spans="1:29" s="7" customFormat="1" outlineLevel="3" x14ac:dyDescent="0.25">
      <c r="A440" s="50" t="s">
        <v>5</v>
      </c>
      <c r="B440" s="50" t="s">
        <v>5</v>
      </c>
      <c r="C440" s="50" t="s">
        <v>5</v>
      </c>
      <c r="D440" s="50" t="s">
        <v>49</v>
      </c>
      <c r="E440" s="52" t="s">
        <v>1072</v>
      </c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8"/>
      <c r="U440" s="53"/>
      <c r="V440" s="54">
        <v>0.6</v>
      </c>
      <c r="W440" s="55" t="s">
        <v>1018</v>
      </c>
      <c r="X440" s="54"/>
      <c r="Y440" s="60"/>
      <c r="Z440" s="100"/>
      <c r="AA440" s="56"/>
      <c r="AB440" s="56"/>
      <c r="AC440" s="54"/>
    </row>
    <row r="441" spans="1:29" s="7" customFormat="1" outlineLevel="2" x14ac:dyDescent="0.25">
      <c r="A441" s="50" t="s">
        <v>5</v>
      </c>
      <c r="B441" s="50" t="s">
        <v>5</v>
      </c>
      <c r="C441" s="50" t="s">
        <v>4</v>
      </c>
      <c r="D441" s="51" t="s">
        <v>2512</v>
      </c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8"/>
      <c r="T441" s="58"/>
      <c r="U441" s="53" t="s">
        <v>2255</v>
      </c>
      <c r="V441" s="54">
        <v>1</v>
      </c>
      <c r="W441" s="55" t="s">
        <v>1019</v>
      </c>
      <c r="X441" s="54"/>
      <c r="Y441" s="54"/>
      <c r="Z441" s="100"/>
      <c r="AA441" s="56"/>
      <c r="AB441" s="56"/>
      <c r="AC441" s="54"/>
    </row>
    <row r="442" spans="1:29" s="7" customFormat="1" outlineLevel="3" x14ac:dyDescent="0.25">
      <c r="A442" s="50" t="s">
        <v>5</v>
      </c>
      <c r="B442" s="50" t="s">
        <v>5</v>
      </c>
      <c r="C442" s="50" t="s">
        <v>5</v>
      </c>
      <c r="D442" s="50" t="s">
        <v>4</v>
      </c>
      <c r="E442" s="52" t="s">
        <v>931</v>
      </c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8"/>
      <c r="U442" s="53">
        <v>50375053</v>
      </c>
      <c r="V442" s="54">
        <v>1</v>
      </c>
      <c r="W442" s="55" t="s">
        <v>1019</v>
      </c>
      <c r="X442" s="54" t="s">
        <v>930</v>
      </c>
      <c r="Y442" s="59" t="s">
        <v>938</v>
      </c>
      <c r="Z442" s="100"/>
      <c r="AA442" s="56">
        <v>4.17</v>
      </c>
      <c r="AB442" s="56"/>
      <c r="AC442" s="54"/>
    </row>
    <row r="443" spans="1:29" s="7" customFormat="1" outlineLevel="3" x14ac:dyDescent="0.25">
      <c r="A443" s="50" t="s">
        <v>5</v>
      </c>
      <c r="B443" s="50" t="s">
        <v>5</v>
      </c>
      <c r="C443" s="50" t="s">
        <v>5</v>
      </c>
      <c r="D443" s="50" t="s">
        <v>4</v>
      </c>
      <c r="E443" s="52" t="s">
        <v>936</v>
      </c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8"/>
      <c r="U443" s="53">
        <v>50375033</v>
      </c>
      <c r="V443" s="54">
        <v>1</v>
      </c>
      <c r="W443" s="55" t="s">
        <v>1019</v>
      </c>
      <c r="X443" s="54" t="s">
        <v>930</v>
      </c>
      <c r="Y443" s="59" t="s">
        <v>937</v>
      </c>
      <c r="Z443" s="100"/>
      <c r="AA443" s="56">
        <v>3.33</v>
      </c>
      <c r="AB443" s="56"/>
      <c r="AC443" s="54"/>
    </row>
    <row r="444" spans="1:29" s="7" customFormat="1" outlineLevel="3" x14ac:dyDescent="0.25">
      <c r="A444" s="50" t="s">
        <v>5</v>
      </c>
      <c r="B444" s="50" t="s">
        <v>5</v>
      </c>
      <c r="C444" s="50" t="s">
        <v>5</v>
      </c>
      <c r="D444" s="50" t="s">
        <v>4</v>
      </c>
      <c r="E444" s="52" t="s">
        <v>1076</v>
      </c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8"/>
      <c r="U444" s="62" t="s">
        <v>1078</v>
      </c>
      <c r="V444" s="54">
        <v>8</v>
      </c>
      <c r="W444" s="55" t="s">
        <v>1019</v>
      </c>
      <c r="X444" s="54" t="s">
        <v>930</v>
      </c>
      <c r="Y444" s="61" t="s">
        <v>1077</v>
      </c>
      <c r="Z444" s="100"/>
      <c r="AA444" s="56"/>
      <c r="AB444" s="56"/>
      <c r="AC444" s="54"/>
    </row>
    <row r="445" spans="1:29" s="7" customFormat="1" outlineLevel="3" x14ac:dyDescent="0.25">
      <c r="A445" s="50" t="s">
        <v>5</v>
      </c>
      <c r="B445" s="50" t="s">
        <v>5</v>
      </c>
      <c r="C445" s="50" t="s">
        <v>5</v>
      </c>
      <c r="D445" s="50" t="s">
        <v>4</v>
      </c>
      <c r="E445" s="52" t="s">
        <v>31</v>
      </c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8"/>
      <c r="U445" s="53" t="s">
        <v>32</v>
      </c>
      <c r="V445" s="54">
        <v>1</v>
      </c>
      <c r="W445" s="55" t="s">
        <v>1019</v>
      </c>
      <c r="X445" s="54" t="s">
        <v>8</v>
      </c>
      <c r="Y445" s="60"/>
      <c r="Z445" s="100"/>
      <c r="AA445" s="56">
        <v>154</v>
      </c>
      <c r="AB445" s="56"/>
      <c r="AC445" s="54" t="s">
        <v>78</v>
      </c>
    </row>
    <row r="446" spans="1:29" s="7" customFormat="1" outlineLevel="3" x14ac:dyDescent="0.25">
      <c r="A446" s="50" t="s">
        <v>5</v>
      </c>
      <c r="B446" s="50" t="s">
        <v>5</v>
      </c>
      <c r="C446" s="50" t="s">
        <v>5</v>
      </c>
      <c r="D446" s="50" t="s">
        <v>4</v>
      </c>
      <c r="E446" s="52" t="s">
        <v>1918</v>
      </c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8"/>
      <c r="U446" s="53"/>
      <c r="V446" s="54">
        <v>1</v>
      </c>
      <c r="W446" s="55" t="s">
        <v>1018</v>
      </c>
      <c r="X446" s="54"/>
      <c r="Y446" s="60"/>
      <c r="Z446" s="100"/>
      <c r="AA446" s="56"/>
      <c r="AB446" s="56"/>
      <c r="AC446" s="54"/>
    </row>
    <row r="447" spans="1:29" s="7" customFormat="1" outlineLevel="3" x14ac:dyDescent="0.25">
      <c r="A447" s="50" t="s">
        <v>5</v>
      </c>
      <c r="B447" s="50" t="s">
        <v>5</v>
      </c>
      <c r="C447" s="50" t="s">
        <v>5</v>
      </c>
      <c r="D447" s="50" t="s">
        <v>4</v>
      </c>
      <c r="E447" s="52" t="s">
        <v>1917</v>
      </c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8"/>
      <c r="U447" s="53"/>
      <c r="V447" s="54">
        <v>1</v>
      </c>
      <c r="W447" s="55" t="s">
        <v>1018</v>
      </c>
      <c r="X447" s="54"/>
      <c r="Y447" s="60"/>
      <c r="Z447" s="100"/>
      <c r="AA447" s="56"/>
      <c r="AB447" s="56"/>
      <c r="AC447" s="54"/>
    </row>
    <row r="448" spans="1:29" s="7" customFormat="1" outlineLevel="3" x14ac:dyDescent="0.25">
      <c r="A448" s="50" t="s">
        <v>5</v>
      </c>
      <c r="B448" s="50" t="s">
        <v>5</v>
      </c>
      <c r="C448" s="50" t="s">
        <v>5</v>
      </c>
      <c r="D448" s="50" t="s">
        <v>4</v>
      </c>
      <c r="E448" s="52" t="s">
        <v>1916</v>
      </c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8"/>
      <c r="U448" s="53"/>
      <c r="V448" s="54">
        <v>0.65</v>
      </c>
      <c r="W448" s="55" t="s">
        <v>1018</v>
      </c>
      <c r="X448" s="54"/>
      <c r="Y448" s="60"/>
      <c r="Z448" s="100"/>
      <c r="AA448" s="56"/>
      <c r="AB448" s="56"/>
      <c r="AC448" s="54"/>
    </row>
    <row r="449" spans="1:29" s="7" customFormat="1" outlineLevel="3" x14ac:dyDescent="0.25">
      <c r="A449" s="50" t="s">
        <v>5</v>
      </c>
      <c r="B449" s="50" t="s">
        <v>5</v>
      </c>
      <c r="C449" s="50" t="s">
        <v>5</v>
      </c>
      <c r="D449" s="50" t="s">
        <v>4</v>
      </c>
      <c r="E449" s="52" t="s">
        <v>1065</v>
      </c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8"/>
      <c r="U449" s="53"/>
      <c r="V449" s="54">
        <v>0.3</v>
      </c>
      <c r="W449" s="55" t="s">
        <v>1018</v>
      </c>
      <c r="X449" s="54"/>
      <c r="Y449" s="60"/>
      <c r="Z449" s="100"/>
      <c r="AA449" s="56"/>
      <c r="AB449" s="56"/>
      <c r="AC449" s="54"/>
    </row>
    <row r="450" spans="1:29" s="7" customFormat="1" outlineLevel="3" x14ac:dyDescent="0.25">
      <c r="A450" s="50" t="s">
        <v>5</v>
      </c>
      <c r="B450" s="50" t="s">
        <v>5</v>
      </c>
      <c r="C450" s="50" t="s">
        <v>5</v>
      </c>
      <c r="D450" s="50" t="s">
        <v>4</v>
      </c>
      <c r="E450" s="52" t="s">
        <v>1061</v>
      </c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8"/>
      <c r="U450" s="53"/>
      <c r="V450" s="54">
        <v>0.6</v>
      </c>
      <c r="W450" s="55" t="s">
        <v>1018</v>
      </c>
      <c r="X450" s="54"/>
      <c r="Y450" s="60"/>
      <c r="Z450" s="100"/>
      <c r="AA450" s="56"/>
      <c r="AB450" s="56"/>
      <c r="AC450" s="54"/>
    </row>
    <row r="451" spans="1:29" s="7" customFormat="1" outlineLevel="3" x14ac:dyDescent="0.25">
      <c r="A451" s="50" t="s">
        <v>5</v>
      </c>
      <c r="B451" s="50" t="s">
        <v>5</v>
      </c>
      <c r="C451" s="50" t="s">
        <v>5</v>
      </c>
      <c r="D451" s="50" t="s">
        <v>49</v>
      </c>
      <c r="E451" s="52" t="s">
        <v>1072</v>
      </c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8"/>
      <c r="U451" s="53"/>
      <c r="V451" s="54">
        <v>0.2</v>
      </c>
      <c r="W451" s="55" t="s">
        <v>1018</v>
      </c>
      <c r="X451" s="54"/>
      <c r="Y451" s="60"/>
      <c r="Z451" s="100"/>
      <c r="AA451" s="56"/>
      <c r="AB451" s="56"/>
      <c r="AC451" s="54"/>
    </row>
    <row r="452" spans="1:29" s="7" customFormat="1" outlineLevel="2" x14ac:dyDescent="0.25">
      <c r="A452" s="50" t="s">
        <v>5</v>
      </c>
      <c r="B452" s="50" t="s">
        <v>5</v>
      </c>
      <c r="C452" s="50" t="s">
        <v>4</v>
      </c>
      <c r="D452" s="51" t="s">
        <v>1054</v>
      </c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8"/>
      <c r="T452" s="58"/>
      <c r="U452" s="53" t="s">
        <v>2256</v>
      </c>
      <c r="V452" s="54">
        <v>1</v>
      </c>
      <c r="W452" s="55" t="s">
        <v>1019</v>
      </c>
      <c r="X452" s="54"/>
      <c r="Y452" s="54"/>
      <c r="Z452" s="100"/>
      <c r="AA452" s="56"/>
      <c r="AB452" s="56"/>
      <c r="AC452" s="54"/>
    </row>
    <row r="453" spans="1:29" s="7" customFormat="1" outlineLevel="3" x14ac:dyDescent="0.25">
      <c r="A453" s="50" t="s">
        <v>5</v>
      </c>
      <c r="B453" s="50" t="s">
        <v>5</v>
      </c>
      <c r="C453" s="50" t="s">
        <v>5</v>
      </c>
      <c r="D453" s="50" t="s">
        <v>4</v>
      </c>
      <c r="E453" s="52" t="s">
        <v>35</v>
      </c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8"/>
      <c r="U453" s="53" t="s">
        <v>36</v>
      </c>
      <c r="V453" s="54">
        <v>1</v>
      </c>
      <c r="W453" s="55" t="s">
        <v>1019</v>
      </c>
      <c r="X453" s="54" t="s">
        <v>37</v>
      </c>
      <c r="Y453" s="60"/>
      <c r="Z453" s="100"/>
      <c r="AA453" s="56">
        <v>5</v>
      </c>
      <c r="AB453" s="56"/>
      <c r="AC453" s="54"/>
    </row>
    <row r="454" spans="1:29" s="7" customFormat="1" outlineLevel="3" x14ac:dyDescent="0.25">
      <c r="A454" s="50" t="s">
        <v>5</v>
      </c>
      <c r="B454" s="50" t="s">
        <v>5</v>
      </c>
      <c r="C454" s="50" t="s">
        <v>5</v>
      </c>
      <c r="D454" s="50" t="s">
        <v>4</v>
      </c>
      <c r="E454" s="52" t="s">
        <v>226</v>
      </c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8"/>
      <c r="U454" s="53" t="s">
        <v>227</v>
      </c>
      <c r="V454" s="54">
        <v>1</v>
      </c>
      <c r="W454" s="55" t="s">
        <v>1019</v>
      </c>
      <c r="X454" s="54"/>
      <c r="Y454" s="60"/>
      <c r="Z454" s="100"/>
      <c r="AA454" s="56"/>
      <c r="AB454" s="56"/>
      <c r="AC454" s="54"/>
    </row>
    <row r="455" spans="1:29" s="7" customFormat="1" outlineLevel="3" x14ac:dyDescent="0.25">
      <c r="A455" s="50" t="s">
        <v>5</v>
      </c>
      <c r="B455" s="50" t="s">
        <v>5</v>
      </c>
      <c r="C455" s="50" t="s">
        <v>5</v>
      </c>
      <c r="D455" s="50" t="s">
        <v>49</v>
      </c>
      <c r="E455" s="52" t="s">
        <v>1922</v>
      </c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8"/>
      <c r="U455" s="53"/>
      <c r="V455" s="54">
        <v>0.8</v>
      </c>
      <c r="W455" s="55" t="s">
        <v>1018</v>
      </c>
      <c r="X455" s="54"/>
      <c r="Y455" s="60"/>
      <c r="Z455" s="100"/>
      <c r="AA455" s="56"/>
      <c r="AB455" s="56"/>
      <c r="AC455" s="54"/>
    </row>
    <row r="456" spans="1:29" s="7" customFormat="1" outlineLevel="2" x14ac:dyDescent="0.25">
      <c r="A456" s="50" t="s">
        <v>5</v>
      </c>
      <c r="B456" s="50" t="s">
        <v>5</v>
      </c>
      <c r="C456" s="50" t="s">
        <v>4</v>
      </c>
      <c r="D456" s="51" t="s">
        <v>1055</v>
      </c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8"/>
      <c r="T456" s="58"/>
      <c r="U456" s="53" t="s">
        <v>2257</v>
      </c>
      <c r="V456" s="54">
        <v>1</v>
      </c>
      <c r="W456" s="55" t="s">
        <v>1019</v>
      </c>
      <c r="X456" s="54"/>
      <c r="Y456" s="54"/>
      <c r="Z456" s="100"/>
      <c r="AA456" s="56"/>
      <c r="AB456" s="56"/>
      <c r="AC456" s="54"/>
    </row>
    <row r="457" spans="1:29" s="7" customFormat="1" outlineLevel="3" x14ac:dyDescent="0.25">
      <c r="A457" s="50" t="s">
        <v>5</v>
      </c>
      <c r="B457" s="50" t="s">
        <v>5</v>
      </c>
      <c r="C457" s="50" t="s">
        <v>5</v>
      </c>
      <c r="D457" s="50" t="s">
        <v>4</v>
      </c>
      <c r="E457" s="52" t="s">
        <v>1081</v>
      </c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8"/>
      <c r="U457" s="53" t="s">
        <v>40</v>
      </c>
      <c r="V457" s="54">
        <v>1</v>
      </c>
      <c r="W457" s="55" t="s">
        <v>1019</v>
      </c>
      <c r="X457" s="54" t="s">
        <v>37</v>
      </c>
      <c r="Y457" s="60"/>
      <c r="Z457" s="100"/>
      <c r="AA457" s="56">
        <v>20</v>
      </c>
      <c r="AB457" s="56"/>
      <c r="AC457" s="54"/>
    </row>
    <row r="458" spans="1:29" s="7" customFormat="1" outlineLevel="3" x14ac:dyDescent="0.25">
      <c r="A458" s="50" t="s">
        <v>5</v>
      </c>
      <c r="B458" s="50" t="s">
        <v>5</v>
      </c>
      <c r="C458" s="50" t="s">
        <v>5</v>
      </c>
      <c r="D458" s="50" t="s">
        <v>4</v>
      </c>
      <c r="E458" s="52" t="s">
        <v>226</v>
      </c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8"/>
      <c r="U458" s="53" t="s">
        <v>227</v>
      </c>
      <c r="V458" s="54">
        <v>1</v>
      </c>
      <c r="W458" s="55" t="s">
        <v>1019</v>
      </c>
      <c r="X458" s="54"/>
      <c r="Y458" s="60"/>
      <c r="Z458" s="100"/>
      <c r="AA458" s="56"/>
      <c r="AB458" s="56"/>
      <c r="AC458" s="54"/>
    </row>
    <row r="459" spans="1:29" s="7" customFormat="1" outlineLevel="3" x14ac:dyDescent="0.25">
      <c r="A459" s="50" t="s">
        <v>5</v>
      </c>
      <c r="B459" s="50" t="s">
        <v>5</v>
      </c>
      <c r="C459" s="50" t="s">
        <v>5</v>
      </c>
      <c r="D459" s="50" t="s">
        <v>49</v>
      </c>
      <c r="E459" s="52" t="s">
        <v>1922</v>
      </c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8"/>
      <c r="U459" s="53"/>
      <c r="V459" s="54">
        <v>0.7</v>
      </c>
      <c r="W459" s="55" t="s">
        <v>1018</v>
      </c>
      <c r="X459" s="54"/>
      <c r="Y459" s="60"/>
      <c r="Z459" s="100"/>
      <c r="AA459" s="56"/>
      <c r="AB459" s="56"/>
      <c r="AC459" s="54"/>
    </row>
    <row r="460" spans="1:29" s="7" customFormat="1" outlineLevel="2" x14ac:dyDescent="0.25">
      <c r="A460" s="50" t="s">
        <v>5</v>
      </c>
      <c r="B460" s="50" t="s">
        <v>5</v>
      </c>
      <c r="C460" s="50" t="s">
        <v>4</v>
      </c>
      <c r="D460" s="51" t="s">
        <v>1056</v>
      </c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8"/>
      <c r="T460" s="58"/>
      <c r="U460" s="53" t="s">
        <v>2258</v>
      </c>
      <c r="V460" s="54">
        <v>1</v>
      </c>
      <c r="W460" s="55" t="s">
        <v>1019</v>
      </c>
      <c r="X460" s="54"/>
      <c r="Y460" s="54"/>
      <c r="Z460" s="100"/>
      <c r="AA460" s="56"/>
      <c r="AB460" s="56"/>
      <c r="AC460" s="54"/>
    </row>
    <row r="461" spans="1:29" s="7" customFormat="1" outlineLevel="3" x14ac:dyDescent="0.25">
      <c r="A461" s="50" t="s">
        <v>5</v>
      </c>
      <c r="B461" s="50" t="s">
        <v>5</v>
      </c>
      <c r="C461" s="50" t="s">
        <v>5</v>
      </c>
      <c r="D461" s="50" t="s">
        <v>4</v>
      </c>
      <c r="E461" s="52" t="s">
        <v>1082</v>
      </c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8"/>
      <c r="U461" s="53" t="s">
        <v>42</v>
      </c>
      <c r="V461" s="54">
        <v>1</v>
      </c>
      <c r="W461" s="55" t="s">
        <v>1019</v>
      </c>
      <c r="X461" s="54" t="s">
        <v>37</v>
      </c>
      <c r="Y461" s="60"/>
      <c r="Z461" s="100"/>
      <c r="AA461" s="56">
        <v>13</v>
      </c>
      <c r="AB461" s="56"/>
      <c r="AC461" s="54"/>
    </row>
    <row r="462" spans="1:29" s="7" customFormat="1" outlineLevel="3" x14ac:dyDescent="0.25">
      <c r="A462" s="50" t="s">
        <v>5</v>
      </c>
      <c r="B462" s="50" t="s">
        <v>5</v>
      </c>
      <c r="C462" s="50" t="s">
        <v>5</v>
      </c>
      <c r="D462" s="50" t="s">
        <v>4</v>
      </c>
      <c r="E462" s="52" t="s">
        <v>226</v>
      </c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8"/>
      <c r="U462" s="53" t="s">
        <v>227</v>
      </c>
      <c r="V462" s="54">
        <v>1</v>
      </c>
      <c r="W462" s="55" t="s">
        <v>1019</v>
      </c>
      <c r="X462" s="54"/>
      <c r="Y462" s="60"/>
      <c r="Z462" s="100"/>
      <c r="AA462" s="56"/>
      <c r="AB462" s="56"/>
      <c r="AC462" s="54"/>
    </row>
    <row r="463" spans="1:29" s="7" customFormat="1" outlineLevel="3" x14ac:dyDescent="0.25">
      <c r="A463" s="50" t="s">
        <v>5</v>
      </c>
      <c r="B463" s="50" t="s">
        <v>5</v>
      </c>
      <c r="C463" s="50" t="s">
        <v>5</v>
      </c>
      <c r="D463" s="50" t="s">
        <v>49</v>
      </c>
      <c r="E463" s="52" t="s">
        <v>1922</v>
      </c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8"/>
      <c r="U463" s="53"/>
      <c r="V463" s="54">
        <v>0.2</v>
      </c>
      <c r="W463" s="55" t="s">
        <v>1018</v>
      </c>
      <c r="X463" s="54"/>
      <c r="Y463" s="60"/>
      <c r="Z463" s="100"/>
      <c r="AA463" s="56"/>
      <c r="AB463" s="56"/>
      <c r="AC463" s="54"/>
    </row>
    <row r="464" spans="1:29" s="7" customFormat="1" outlineLevel="2" x14ac:dyDescent="0.25">
      <c r="A464" s="50" t="s">
        <v>5</v>
      </c>
      <c r="B464" s="50" t="s">
        <v>5</v>
      </c>
      <c r="C464" s="50" t="s">
        <v>4</v>
      </c>
      <c r="D464" s="51" t="s">
        <v>1057</v>
      </c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8"/>
      <c r="T464" s="58"/>
      <c r="U464" s="53" t="s">
        <v>2259</v>
      </c>
      <c r="V464" s="54">
        <v>1</v>
      </c>
      <c r="W464" s="55" t="s">
        <v>1019</v>
      </c>
      <c r="X464" s="54"/>
      <c r="Y464" s="54"/>
      <c r="Z464" s="100"/>
      <c r="AA464" s="56"/>
      <c r="AB464" s="56"/>
      <c r="AC464" s="54"/>
    </row>
    <row r="465" spans="1:29" s="7" customFormat="1" outlineLevel="3" x14ac:dyDescent="0.25">
      <c r="A465" s="50" t="s">
        <v>5</v>
      </c>
      <c r="B465" s="50" t="s">
        <v>5</v>
      </c>
      <c r="C465" s="50" t="s">
        <v>5</v>
      </c>
      <c r="D465" s="50" t="s">
        <v>4</v>
      </c>
      <c r="E465" s="52" t="s">
        <v>45</v>
      </c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8"/>
      <c r="U465" s="53" t="s">
        <v>46</v>
      </c>
      <c r="V465" s="54">
        <v>1</v>
      </c>
      <c r="W465" s="55" t="s">
        <v>1019</v>
      </c>
      <c r="X465" s="54" t="s">
        <v>44</v>
      </c>
      <c r="Y465" s="60"/>
      <c r="Z465" s="100"/>
      <c r="AA465" s="56">
        <v>83.16</v>
      </c>
      <c r="AB465" s="56"/>
      <c r="AC465" s="54"/>
    </row>
    <row r="466" spans="1:29" s="7" customFormat="1" outlineLevel="3" x14ac:dyDescent="0.25">
      <c r="A466" s="50" t="s">
        <v>5</v>
      </c>
      <c r="B466" s="50" t="s">
        <v>5</v>
      </c>
      <c r="C466" s="50" t="s">
        <v>5</v>
      </c>
      <c r="D466" s="50" t="s">
        <v>4</v>
      </c>
      <c r="E466" s="52" t="s">
        <v>226</v>
      </c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8"/>
      <c r="U466" s="53" t="s">
        <v>227</v>
      </c>
      <c r="V466" s="54">
        <v>2</v>
      </c>
      <c r="W466" s="55" t="s">
        <v>1019</v>
      </c>
      <c r="X466" s="54"/>
      <c r="Y466" s="60"/>
      <c r="Z466" s="100"/>
      <c r="AA466" s="56"/>
      <c r="AB466" s="56"/>
      <c r="AC466" s="54"/>
    </row>
    <row r="467" spans="1:29" s="7" customFormat="1" outlineLevel="3" x14ac:dyDescent="0.25">
      <c r="A467" s="50" t="s">
        <v>5</v>
      </c>
      <c r="B467" s="50" t="s">
        <v>5</v>
      </c>
      <c r="C467" s="50" t="s">
        <v>5</v>
      </c>
      <c r="D467" s="50" t="s">
        <v>49</v>
      </c>
      <c r="E467" s="52" t="s">
        <v>924</v>
      </c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8"/>
      <c r="U467" s="53" t="s">
        <v>925</v>
      </c>
      <c r="V467" s="54">
        <v>1</v>
      </c>
      <c r="W467" s="55" t="s">
        <v>1019</v>
      </c>
      <c r="X467" s="54" t="s">
        <v>66</v>
      </c>
      <c r="Y467" s="54"/>
      <c r="Z467" s="100"/>
      <c r="AA467" s="56">
        <v>5021</v>
      </c>
      <c r="AB467" s="56"/>
      <c r="AC467" s="54"/>
    </row>
    <row r="468" spans="1:29" s="7" customFormat="1" outlineLevel="2" x14ac:dyDescent="0.25">
      <c r="A468" s="50" t="s">
        <v>5</v>
      </c>
      <c r="B468" s="50" t="s">
        <v>5</v>
      </c>
      <c r="C468" s="50" t="s">
        <v>4</v>
      </c>
      <c r="D468" s="51" t="s">
        <v>2513</v>
      </c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8"/>
      <c r="T468" s="58"/>
      <c r="U468" s="53" t="s">
        <v>2260</v>
      </c>
      <c r="V468" s="54">
        <v>1</v>
      </c>
      <c r="W468" s="55" t="s">
        <v>1019</v>
      </c>
      <c r="X468" s="54"/>
      <c r="Y468" s="54"/>
      <c r="Z468" s="100"/>
      <c r="AA468" s="56"/>
      <c r="AB468" s="56"/>
      <c r="AC468" s="54"/>
    </row>
    <row r="469" spans="1:29" s="7" customFormat="1" outlineLevel="3" x14ac:dyDescent="0.25">
      <c r="A469" s="50" t="s">
        <v>5</v>
      </c>
      <c r="B469" s="50" t="s">
        <v>5</v>
      </c>
      <c r="C469" s="50" t="s">
        <v>5</v>
      </c>
      <c r="D469" s="50" t="s">
        <v>4</v>
      </c>
      <c r="E469" s="52" t="s">
        <v>932</v>
      </c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8"/>
      <c r="U469" s="53">
        <v>50375023</v>
      </c>
      <c r="V469" s="54">
        <v>1</v>
      </c>
      <c r="W469" s="55" t="s">
        <v>1019</v>
      </c>
      <c r="X469" s="54" t="s">
        <v>930</v>
      </c>
      <c r="Y469" s="59" t="s">
        <v>935</v>
      </c>
      <c r="Z469" s="100"/>
      <c r="AA469" s="56">
        <v>2.5</v>
      </c>
      <c r="AB469" s="56"/>
      <c r="AC469" s="54"/>
    </row>
    <row r="470" spans="1:29" s="7" customFormat="1" outlineLevel="3" x14ac:dyDescent="0.25">
      <c r="A470" s="50" t="s">
        <v>5</v>
      </c>
      <c r="B470" s="50" t="s">
        <v>5</v>
      </c>
      <c r="C470" s="50" t="s">
        <v>5</v>
      </c>
      <c r="D470" s="50" t="s">
        <v>4</v>
      </c>
      <c r="E470" s="52" t="s">
        <v>1076</v>
      </c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8"/>
      <c r="U470" s="62" t="s">
        <v>1078</v>
      </c>
      <c r="V470" s="54">
        <v>2</v>
      </c>
      <c r="W470" s="55" t="s">
        <v>1019</v>
      </c>
      <c r="X470" s="54" t="s">
        <v>930</v>
      </c>
      <c r="Y470" s="61" t="s">
        <v>1077</v>
      </c>
      <c r="Z470" s="100"/>
      <c r="AA470" s="56"/>
      <c r="AB470" s="56"/>
      <c r="AC470" s="54"/>
    </row>
    <row r="471" spans="1:29" s="7" customFormat="1" outlineLevel="3" x14ac:dyDescent="0.25">
      <c r="A471" s="50" t="s">
        <v>5</v>
      </c>
      <c r="B471" s="50" t="s">
        <v>5</v>
      </c>
      <c r="C471" s="50" t="s">
        <v>5</v>
      </c>
      <c r="D471" s="50" t="s">
        <v>4</v>
      </c>
      <c r="E471" s="52" t="s">
        <v>230</v>
      </c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8"/>
      <c r="U471" s="53" t="s">
        <v>231</v>
      </c>
      <c r="V471" s="54">
        <v>2</v>
      </c>
      <c r="W471" s="55" t="s">
        <v>1019</v>
      </c>
      <c r="X471" s="54"/>
      <c r="Y471" s="60"/>
      <c r="Z471" s="100"/>
      <c r="AA471" s="56"/>
      <c r="AB471" s="56"/>
      <c r="AC471" s="54"/>
    </row>
    <row r="472" spans="1:29" s="7" customFormat="1" outlineLevel="3" x14ac:dyDescent="0.25">
      <c r="A472" s="50" t="s">
        <v>5</v>
      </c>
      <c r="B472" s="50" t="s">
        <v>5</v>
      </c>
      <c r="C472" s="50" t="s">
        <v>5</v>
      </c>
      <c r="D472" s="50" t="s">
        <v>4</v>
      </c>
      <c r="E472" s="52" t="s">
        <v>1918</v>
      </c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8"/>
      <c r="U472" s="53"/>
      <c r="V472" s="54">
        <v>0.19</v>
      </c>
      <c r="W472" s="55" t="s">
        <v>1018</v>
      </c>
      <c r="X472" s="54"/>
      <c r="Y472" s="60"/>
      <c r="Z472" s="100"/>
      <c r="AA472" s="56"/>
      <c r="AB472" s="56"/>
      <c r="AC472" s="54"/>
    </row>
    <row r="473" spans="1:29" s="7" customFormat="1" outlineLevel="3" x14ac:dyDescent="0.25">
      <c r="A473" s="50" t="s">
        <v>5</v>
      </c>
      <c r="B473" s="50" t="s">
        <v>5</v>
      </c>
      <c r="C473" s="50" t="s">
        <v>5</v>
      </c>
      <c r="D473" s="50" t="s">
        <v>4</v>
      </c>
      <c r="E473" s="52" t="s">
        <v>1917</v>
      </c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8"/>
      <c r="U473" s="53"/>
      <c r="V473" s="54">
        <v>0.19</v>
      </c>
      <c r="W473" s="55" t="s">
        <v>1018</v>
      </c>
      <c r="X473" s="54"/>
      <c r="Y473" s="60"/>
      <c r="Z473" s="100"/>
      <c r="AA473" s="56"/>
      <c r="AB473" s="56"/>
      <c r="AC473" s="54"/>
    </row>
    <row r="474" spans="1:29" s="7" customFormat="1" outlineLevel="3" x14ac:dyDescent="0.25">
      <c r="A474" s="50" t="s">
        <v>5</v>
      </c>
      <c r="B474" s="50" t="s">
        <v>5</v>
      </c>
      <c r="C474" s="50" t="s">
        <v>5</v>
      </c>
      <c r="D474" s="50" t="s">
        <v>49</v>
      </c>
      <c r="E474" s="52" t="s">
        <v>1065</v>
      </c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8"/>
      <c r="U474" s="53"/>
      <c r="V474" s="54">
        <v>0.11</v>
      </c>
      <c r="W474" s="55" t="s">
        <v>1018</v>
      </c>
      <c r="X474" s="54"/>
      <c r="Y474" s="60"/>
      <c r="Z474" s="100"/>
      <c r="AA474" s="56"/>
      <c r="AB474" s="56"/>
      <c r="AC474" s="54"/>
    </row>
    <row r="475" spans="1:29" s="7" customFormat="1" outlineLevel="2" x14ac:dyDescent="0.25">
      <c r="A475" s="50" t="s">
        <v>5</v>
      </c>
      <c r="B475" s="50" t="s">
        <v>5</v>
      </c>
      <c r="C475" s="50" t="s">
        <v>4</v>
      </c>
      <c r="D475" s="51" t="s">
        <v>2514</v>
      </c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8"/>
      <c r="T475" s="58"/>
      <c r="U475" s="53" t="s">
        <v>2261</v>
      </c>
      <c r="V475" s="54">
        <v>1</v>
      </c>
      <c r="W475" s="55" t="s">
        <v>1019</v>
      </c>
      <c r="X475" s="54"/>
      <c r="Y475" s="54"/>
      <c r="Z475" s="100"/>
      <c r="AA475" s="56"/>
      <c r="AB475" s="56"/>
      <c r="AC475" s="54"/>
    </row>
    <row r="476" spans="1:29" s="7" customFormat="1" outlineLevel="3" x14ac:dyDescent="0.25">
      <c r="A476" s="50" t="s">
        <v>5</v>
      </c>
      <c r="B476" s="50" t="s">
        <v>5</v>
      </c>
      <c r="C476" s="50" t="s">
        <v>5</v>
      </c>
      <c r="D476" s="50" t="s">
        <v>4</v>
      </c>
      <c r="E476" s="52" t="s">
        <v>33</v>
      </c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8"/>
      <c r="U476" s="53" t="s">
        <v>34</v>
      </c>
      <c r="V476" s="54">
        <v>1</v>
      </c>
      <c r="W476" s="55" t="s">
        <v>1019</v>
      </c>
      <c r="X476" s="54"/>
      <c r="Y476" s="60"/>
      <c r="Z476" s="100"/>
      <c r="AA476" s="56"/>
      <c r="AB476" s="56"/>
      <c r="AC476" s="54"/>
    </row>
    <row r="477" spans="1:29" s="7" customFormat="1" outlineLevel="3" x14ac:dyDescent="0.25">
      <c r="A477" s="50" t="s">
        <v>5</v>
      </c>
      <c r="B477" s="50" t="s">
        <v>5</v>
      </c>
      <c r="C477" s="50" t="s">
        <v>5</v>
      </c>
      <c r="D477" s="50" t="s">
        <v>4</v>
      </c>
      <c r="E477" s="52" t="s">
        <v>936</v>
      </c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8"/>
      <c r="U477" s="53">
        <v>50375033</v>
      </c>
      <c r="V477" s="54">
        <v>1</v>
      </c>
      <c r="W477" s="55" t="s">
        <v>1019</v>
      </c>
      <c r="X477" s="54" t="s">
        <v>930</v>
      </c>
      <c r="Y477" s="59" t="s">
        <v>937</v>
      </c>
      <c r="Z477" s="100"/>
      <c r="AA477" s="56">
        <v>3.33</v>
      </c>
      <c r="AB477" s="56"/>
      <c r="AC477" s="54"/>
    </row>
    <row r="478" spans="1:29" s="7" customFormat="1" outlineLevel="3" x14ac:dyDescent="0.25">
      <c r="A478" s="50" t="s">
        <v>5</v>
      </c>
      <c r="B478" s="50" t="s">
        <v>5</v>
      </c>
      <c r="C478" s="50" t="s">
        <v>5</v>
      </c>
      <c r="D478" s="50" t="s">
        <v>4</v>
      </c>
      <c r="E478" s="52" t="s">
        <v>1076</v>
      </c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8"/>
      <c r="U478" s="62" t="s">
        <v>1078</v>
      </c>
      <c r="V478" s="54">
        <v>3</v>
      </c>
      <c r="W478" s="55" t="s">
        <v>1019</v>
      </c>
      <c r="X478" s="54" t="s">
        <v>930</v>
      </c>
      <c r="Y478" s="61" t="s">
        <v>1077</v>
      </c>
      <c r="Z478" s="100"/>
      <c r="AA478" s="56"/>
      <c r="AB478" s="56"/>
      <c r="AC478" s="54"/>
    </row>
    <row r="479" spans="1:29" s="7" customFormat="1" outlineLevel="3" x14ac:dyDescent="0.25">
      <c r="A479" s="2" t="s">
        <v>5</v>
      </c>
      <c r="B479" s="2" t="s">
        <v>5</v>
      </c>
      <c r="C479" s="2" t="s">
        <v>5</v>
      </c>
      <c r="D479" s="2" t="s">
        <v>4</v>
      </c>
      <c r="E479" s="42" t="s">
        <v>1903</v>
      </c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57"/>
      <c r="U479" s="63"/>
      <c r="V479" s="43">
        <v>2.2999999999999998</v>
      </c>
      <c r="W479" s="49" t="s">
        <v>1018</v>
      </c>
      <c r="X479" s="43"/>
      <c r="Y479" s="64"/>
      <c r="Z479" s="99"/>
      <c r="AA479" s="44"/>
      <c r="AB479" s="44"/>
      <c r="AC479" s="43"/>
    </row>
    <row r="480" spans="1:29" s="7" customFormat="1" outlineLevel="3" x14ac:dyDescent="0.25">
      <c r="A480" s="2" t="s">
        <v>5</v>
      </c>
      <c r="B480" s="2" t="s">
        <v>5</v>
      </c>
      <c r="C480" s="2" t="s">
        <v>5</v>
      </c>
      <c r="D480" s="2" t="s">
        <v>49</v>
      </c>
      <c r="E480" s="42" t="s">
        <v>1065</v>
      </c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57"/>
      <c r="U480" s="63"/>
      <c r="V480" s="43">
        <v>0.68</v>
      </c>
      <c r="W480" s="49" t="s">
        <v>1018</v>
      </c>
      <c r="X480" s="43"/>
      <c r="Y480" s="64"/>
      <c r="Z480" s="99"/>
      <c r="AA480" s="44"/>
      <c r="AB480" s="44"/>
      <c r="AC480" s="43"/>
    </row>
    <row r="481" spans="1:29" s="7" customFormat="1" outlineLevel="2" x14ac:dyDescent="0.25">
      <c r="A481" s="50" t="s">
        <v>5</v>
      </c>
      <c r="B481" s="50" t="s">
        <v>5</v>
      </c>
      <c r="C481" s="50" t="s">
        <v>4</v>
      </c>
      <c r="D481" s="51" t="s">
        <v>2515</v>
      </c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8"/>
      <c r="T481" s="58"/>
      <c r="U481" s="53" t="s">
        <v>2262</v>
      </c>
      <c r="V481" s="54">
        <v>1</v>
      </c>
      <c r="W481" s="55" t="s">
        <v>1019</v>
      </c>
      <c r="X481" s="54"/>
      <c r="Y481" s="54"/>
      <c r="Z481" s="100"/>
      <c r="AA481" s="56"/>
      <c r="AB481" s="56"/>
      <c r="AC481" s="54"/>
    </row>
    <row r="482" spans="1:29" s="7" customFormat="1" outlineLevel="3" x14ac:dyDescent="0.25">
      <c r="A482" s="50" t="s">
        <v>5</v>
      </c>
      <c r="B482" s="50" t="s">
        <v>5</v>
      </c>
      <c r="C482" s="50" t="s">
        <v>5</v>
      </c>
      <c r="D482" s="50" t="s">
        <v>4</v>
      </c>
      <c r="E482" s="52" t="s">
        <v>45</v>
      </c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8"/>
      <c r="U482" s="53" t="s">
        <v>46</v>
      </c>
      <c r="V482" s="54">
        <v>1</v>
      </c>
      <c r="W482" s="55" t="s">
        <v>1019</v>
      </c>
      <c r="X482" s="54" t="s">
        <v>44</v>
      </c>
      <c r="Y482" s="60"/>
      <c r="Z482" s="100"/>
      <c r="AA482" s="56">
        <v>83.16</v>
      </c>
      <c r="AB482" s="56"/>
      <c r="AC482" s="54"/>
    </row>
    <row r="483" spans="1:29" s="7" customFormat="1" outlineLevel="3" x14ac:dyDescent="0.25">
      <c r="A483" s="50" t="s">
        <v>5</v>
      </c>
      <c r="B483" s="50" t="s">
        <v>5</v>
      </c>
      <c r="C483" s="50" t="s">
        <v>5</v>
      </c>
      <c r="D483" s="50" t="s">
        <v>4</v>
      </c>
      <c r="E483" s="52" t="s">
        <v>932</v>
      </c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8"/>
      <c r="U483" s="53">
        <v>50375023</v>
      </c>
      <c r="V483" s="54">
        <v>1</v>
      </c>
      <c r="W483" s="55" t="s">
        <v>1019</v>
      </c>
      <c r="X483" s="54" t="s">
        <v>930</v>
      </c>
      <c r="Y483" s="59" t="s">
        <v>935</v>
      </c>
      <c r="Z483" s="100"/>
      <c r="AA483" s="56">
        <v>2.5</v>
      </c>
      <c r="AB483" s="56"/>
      <c r="AC483" s="54"/>
    </row>
    <row r="484" spans="1:29" s="7" customFormat="1" outlineLevel="3" x14ac:dyDescent="0.25">
      <c r="A484" s="50" t="s">
        <v>5</v>
      </c>
      <c r="B484" s="50" t="s">
        <v>5</v>
      </c>
      <c r="C484" s="50" t="s">
        <v>5</v>
      </c>
      <c r="D484" s="50" t="s">
        <v>4</v>
      </c>
      <c r="E484" s="52" t="s">
        <v>1076</v>
      </c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8"/>
      <c r="U484" s="62" t="s">
        <v>1078</v>
      </c>
      <c r="V484" s="54">
        <v>2</v>
      </c>
      <c r="W484" s="55" t="s">
        <v>1019</v>
      </c>
      <c r="X484" s="54" t="s">
        <v>930</v>
      </c>
      <c r="Y484" s="61" t="s">
        <v>1077</v>
      </c>
      <c r="Z484" s="100"/>
      <c r="AA484" s="56"/>
      <c r="AB484" s="56"/>
      <c r="AC484" s="54"/>
    </row>
    <row r="485" spans="1:29" s="7" customFormat="1" outlineLevel="3" x14ac:dyDescent="0.25">
      <c r="A485" s="50" t="s">
        <v>5</v>
      </c>
      <c r="B485" s="50" t="s">
        <v>5</v>
      </c>
      <c r="C485" s="50" t="s">
        <v>5</v>
      </c>
      <c r="D485" s="50" t="s">
        <v>4</v>
      </c>
      <c r="E485" s="52" t="s">
        <v>230</v>
      </c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8"/>
      <c r="U485" s="53" t="s">
        <v>231</v>
      </c>
      <c r="V485" s="54">
        <v>2</v>
      </c>
      <c r="W485" s="55" t="s">
        <v>1019</v>
      </c>
      <c r="X485" s="54"/>
      <c r="Y485" s="60"/>
      <c r="Z485" s="100"/>
      <c r="AA485" s="56"/>
      <c r="AB485" s="56"/>
      <c r="AC485" s="54"/>
    </row>
    <row r="486" spans="1:29" s="7" customFormat="1" outlineLevel="3" x14ac:dyDescent="0.25">
      <c r="A486" s="50" t="s">
        <v>5</v>
      </c>
      <c r="B486" s="50" t="s">
        <v>5</v>
      </c>
      <c r="C486" s="50" t="s">
        <v>5</v>
      </c>
      <c r="D486" s="50" t="s">
        <v>4</v>
      </c>
      <c r="E486" s="52" t="s">
        <v>1903</v>
      </c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8"/>
      <c r="U486" s="53"/>
      <c r="V486" s="54">
        <v>1.5</v>
      </c>
      <c r="W486" s="55" t="s">
        <v>1018</v>
      </c>
      <c r="X486" s="54"/>
      <c r="Y486" s="60"/>
      <c r="Z486" s="100"/>
      <c r="AA486" s="56"/>
      <c r="AB486" s="56"/>
      <c r="AC486" s="54"/>
    </row>
    <row r="487" spans="1:29" s="7" customFormat="1" outlineLevel="3" x14ac:dyDescent="0.25">
      <c r="A487" s="50" t="s">
        <v>5</v>
      </c>
      <c r="B487" s="50" t="s">
        <v>5</v>
      </c>
      <c r="C487" s="50" t="s">
        <v>5</v>
      </c>
      <c r="D487" s="50" t="s">
        <v>4</v>
      </c>
      <c r="E487" s="52" t="s">
        <v>1917</v>
      </c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8"/>
      <c r="U487" s="53"/>
      <c r="V487" s="54">
        <v>2.1</v>
      </c>
      <c r="W487" s="55" t="s">
        <v>1018</v>
      </c>
      <c r="X487" s="54"/>
      <c r="Y487" s="60"/>
      <c r="Z487" s="100"/>
      <c r="AA487" s="56"/>
      <c r="AB487" s="56"/>
      <c r="AC487" s="54"/>
    </row>
    <row r="488" spans="1:29" s="7" customFormat="1" outlineLevel="3" x14ac:dyDescent="0.25">
      <c r="A488" s="50" t="s">
        <v>5</v>
      </c>
      <c r="B488" s="50" t="s">
        <v>5</v>
      </c>
      <c r="C488" s="50" t="s">
        <v>5</v>
      </c>
      <c r="D488" s="50" t="s">
        <v>49</v>
      </c>
      <c r="E488" s="52" t="s">
        <v>1065</v>
      </c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8"/>
      <c r="U488" s="53"/>
      <c r="V488" s="54">
        <v>1.7</v>
      </c>
      <c r="W488" s="55" t="s">
        <v>1018</v>
      </c>
      <c r="X488" s="54"/>
      <c r="Y488" s="60"/>
      <c r="Z488" s="100"/>
      <c r="AA488" s="56"/>
      <c r="AB488" s="56"/>
      <c r="AC488" s="54"/>
    </row>
    <row r="489" spans="1:29" s="7" customFormat="1" outlineLevel="2" x14ac:dyDescent="0.25">
      <c r="A489" s="50" t="s">
        <v>5</v>
      </c>
      <c r="B489" s="50" t="s">
        <v>5</v>
      </c>
      <c r="C489" s="50" t="s">
        <v>4</v>
      </c>
      <c r="D489" s="51" t="s">
        <v>2516</v>
      </c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8"/>
      <c r="T489" s="58"/>
      <c r="U489" s="53" t="s">
        <v>2263</v>
      </c>
      <c r="V489" s="54">
        <v>1</v>
      </c>
      <c r="W489" s="55" t="s">
        <v>1019</v>
      </c>
      <c r="X489" s="54"/>
      <c r="Y489" s="54"/>
      <c r="Z489" s="100"/>
      <c r="AA489" s="56"/>
      <c r="AB489" s="56"/>
      <c r="AC489" s="54"/>
    </row>
    <row r="490" spans="1:29" s="7" customFormat="1" outlineLevel="3" x14ac:dyDescent="0.25">
      <c r="A490" s="50" t="s">
        <v>5</v>
      </c>
      <c r="B490" s="50" t="s">
        <v>5</v>
      </c>
      <c r="C490" s="50" t="s">
        <v>5</v>
      </c>
      <c r="D490" s="50" t="s">
        <v>4</v>
      </c>
      <c r="E490" s="52" t="s">
        <v>1062</v>
      </c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8"/>
      <c r="U490" s="53" t="s">
        <v>43</v>
      </c>
      <c r="V490" s="54">
        <v>1</v>
      </c>
      <c r="W490" s="55" t="s">
        <v>1019</v>
      </c>
      <c r="X490" s="54"/>
      <c r="Y490" s="60"/>
      <c r="Z490" s="100"/>
      <c r="AA490" s="56"/>
      <c r="AB490" s="56"/>
      <c r="AC490" s="54"/>
    </row>
    <row r="491" spans="1:29" s="7" customFormat="1" outlineLevel="3" x14ac:dyDescent="0.25">
      <c r="A491" s="50" t="s">
        <v>5</v>
      </c>
      <c r="B491" s="50" t="s">
        <v>5</v>
      </c>
      <c r="C491" s="50" t="s">
        <v>5</v>
      </c>
      <c r="D491" s="50" t="s">
        <v>4</v>
      </c>
      <c r="E491" s="52" t="s">
        <v>230</v>
      </c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8"/>
      <c r="U491" s="53" t="s">
        <v>231</v>
      </c>
      <c r="V491" s="54">
        <v>2</v>
      </c>
      <c r="W491" s="55" t="s">
        <v>1019</v>
      </c>
      <c r="X491" s="54"/>
      <c r="Y491" s="60"/>
      <c r="Z491" s="100"/>
      <c r="AA491" s="56"/>
      <c r="AB491" s="56"/>
      <c r="AC491" s="54"/>
    </row>
    <row r="492" spans="1:29" s="7" customFormat="1" outlineLevel="3" x14ac:dyDescent="0.25">
      <c r="A492" s="50" t="s">
        <v>5</v>
      </c>
      <c r="B492" s="50" t="s">
        <v>5</v>
      </c>
      <c r="C492" s="50" t="s">
        <v>5</v>
      </c>
      <c r="D492" s="50" t="s">
        <v>4</v>
      </c>
      <c r="E492" s="52" t="s">
        <v>126</v>
      </c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8"/>
      <c r="U492" s="53" t="s">
        <v>127</v>
      </c>
      <c r="V492" s="54">
        <v>1</v>
      </c>
      <c r="W492" s="55" t="s">
        <v>1019</v>
      </c>
      <c r="X492" s="54"/>
      <c r="Y492" s="54"/>
      <c r="Z492" s="100"/>
      <c r="AA492" s="56">
        <v>2615.33</v>
      </c>
      <c r="AB492" s="56"/>
      <c r="AC492" s="54" t="s">
        <v>1083</v>
      </c>
    </row>
    <row r="493" spans="1:29" s="7" customFormat="1" outlineLevel="3" x14ac:dyDescent="0.25">
      <c r="A493" s="50" t="s">
        <v>5</v>
      </c>
      <c r="B493" s="50" t="s">
        <v>5</v>
      </c>
      <c r="C493" s="50" t="s">
        <v>5</v>
      </c>
      <c r="D493" s="50" t="s">
        <v>4</v>
      </c>
      <c r="E493" s="52" t="s">
        <v>1903</v>
      </c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8"/>
      <c r="U493" s="53"/>
      <c r="V493" s="54">
        <v>0.7</v>
      </c>
      <c r="W493" s="55" t="s">
        <v>1018</v>
      </c>
      <c r="X493" s="54"/>
      <c r="Y493" s="60"/>
      <c r="Z493" s="100"/>
      <c r="AA493" s="56"/>
      <c r="AB493" s="56"/>
      <c r="AC493" s="54"/>
    </row>
    <row r="494" spans="1:29" s="7" customFormat="1" outlineLevel="3" x14ac:dyDescent="0.25">
      <c r="A494" s="50" t="s">
        <v>5</v>
      </c>
      <c r="B494" s="50" t="s">
        <v>5</v>
      </c>
      <c r="C494" s="50" t="s">
        <v>5</v>
      </c>
      <c r="D494" s="50" t="s">
        <v>4</v>
      </c>
      <c r="E494" s="52" t="s">
        <v>1072</v>
      </c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8"/>
      <c r="U494" s="53"/>
      <c r="V494" s="54">
        <v>0.1</v>
      </c>
      <c r="W494" s="55" t="s">
        <v>1018</v>
      </c>
      <c r="X494" s="54"/>
      <c r="Y494" s="60"/>
      <c r="Z494" s="100"/>
      <c r="AA494" s="56"/>
      <c r="AB494" s="56"/>
      <c r="AC494" s="54"/>
    </row>
    <row r="495" spans="1:29" s="7" customFormat="1" outlineLevel="3" x14ac:dyDescent="0.25">
      <c r="A495" s="50" t="s">
        <v>5</v>
      </c>
      <c r="B495" s="50" t="s">
        <v>5</v>
      </c>
      <c r="C495" s="50" t="s">
        <v>5</v>
      </c>
      <c r="D495" s="50" t="s">
        <v>49</v>
      </c>
      <c r="E495" s="52" t="s">
        <v>1065</v>
      </c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8"/>
      <c r="U495" s="53"/>
      <c r="V495" s="54">
        <v>0.45</v>
      </c>
      <c r="W495" s="55" t="s">
        <v>1018</v>
      </c>
      <c r="X495" s="54"/>
      <c r="Y495" s="60"/>
      <c r="Z495" s="100"/>
      <c r="AA495" s="56"/>
      <c r="AB495" s="56"/>
      <c r="AC495" s="54"/>
    </row>
    <row r="496" spans="1:29" s="7" customFormat="1" outlineLevel="2" x14ac:dyDescent="0.25">
      <c r="A496" s="50" t="s">
        <v>5</v>
      </c>
      <c r="B496" s="50" t="s">
        <v>5</v>
      </c>
      <c r="C496" s="50" t="s">
        <v>4</v>
      </c>
      <c r="D496" s="51" t="s">
        <v>1058</v>
      </c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8"/>
      <c r="T496" s="58"/>
      <c r="U496" s="53" t="s">
        <v>2264</v>
      </c>
      <c r="V496" s="54">
        <v>1</v>
      </c>
      <c r="W496" s="55" t="s">
        <v>1019</v>
      </c>
      <c r="X496" s="54"/>
      <c r="Y496" s="54"/>
      <c r="Z496" s="100"/>
      <c r="AA496" s="56"/>
      <c r="AB496" s="56"/>
      <c r="AC496" s="54"/>
    </row>
    <row r="497" spans="1:29" s="7" customFormat="1" outlineLevel="3" x14ac:dyDescent="0.25">
      <c r="A497" s="50" t="s">
        <v>5</v>
      </c>
      <c r="B497" s="50" t="s">
        <v>5</v>
      </c>
      <c r="C497" s="50" t="s">
        <v>5</v>
      </c>
      <c r="D497" s="50" t="s">
        <v>4</v>
      </c>
      <c r="E497" s="52" t="s">
        <v>1062</v>
      </c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8"/>
      <c r="U497" s="53" t="s">
        <v>43</v>
      </c>
      <c r="V497" s="54">
        <v>1</v>
      </c>
      <c r="W497" s="55" t="s">
        <v>1019</v>
      </c>
      <c r="X497" s="54"/>
      <c r="Y497" s="60"/>
      <c r="Z497" s="100"/>
      <c r="AA497" s="56"/>
      <c r="AB497" s="56"/>
      <c r="AC497" s="54"/>
    </row>
    <row r="498" spans="1:29" s="7" customFormat="1" outlineLevel="3" x14ac:dyDescent="0.25">
      <c r="A498" s="50" t="s">
        <v>5</v>
      </c>
      <c r="B498" s="50" t="s">
        <v>5</v>
      </c>
      <c r="C498" s="50" t="s">
        <v>5</v>
      </c>
      <c r="D498" s="50" t="s">
        <v>4</v>
      </c>
      <c r="E498" s="52" t="s">
        <v>226</v>
      </c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8"/>
      <c r="U498" s="53" t="s">
        <v>227</v>
      </c>
      <c r="V498" s="54">
        <v>2</v>
      </c>
      <c r="W498" s="55" t="s">
        <v>1019</v>
      </c>
      <c r="X498" s="54"/>
      <c r="Y498" s="60"/>
      <c r="Z498" s="100"/>
      <c r="AA498" s="56"/>
      <c r="AB498" s="56"/>
      <c r="AC498" s="54"/>
    </row>
    <row r="499" spans="1:29" s="7" customFormat="1" outlineLevel="3" x14ac:dyDescent="0.25">
      <c r="A499" s="50" t="s">
        <v>5</v>
      </c>
      <c r="B499" s="50" t="s">
        <v>5</v>
      </c>
      <c r="C499" s="50" t="s">
        <v>5</v>
      </c>
      <c r="D499" s="50" t="s">
        <v>4</v>
      </c>
      <c r="E499" s="52" t="s">
        <v>1067</v>
      </c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8"/>
      <c r="U499" s="53" t="s">
        <v>36</v>
      </c>
      <c r="V499" s="54">
        <v>2</v>
      </c>
      <c r="W499" s="55" t="s">
        <v>1019</v>
      </c>
      <c r="X499" s="54" t="s">
        <v>37</v>
      </c>
      <c r="Y499" s="60"/>
      <c r="Z499" s="100"/>
      <c r="AA499" s="56">
        <v>5</v>
      </c>
      <c r="AB499" s="56"/>
      <c r="AC499" s="54"/>
    </row>
    <row r="500" spans="1:29" s="7" customFormat="1" outlineLevel="3" x14ac:dyDescent="0.25">
      <c r="A500" s="50" t="s">
        <v>5</v>
      </c>
      <c r="B500" s="50" t="s">
        <v>5</v>
      </c>
      <c r="C500" s="50" t="s">
        <v>5</v>
      </c>
      <c r="D500" s="50" t="s">
        <v>49</v>
      </c>
      <c r="E500" s="52" t="s">
        <v>1901</v>
      </c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8"/>
      <c r="U500" s="53"/>
      <c r="V500" s="54">
        <v>0.35</v>
      </c>
      <c r="W500" s="55" t="s">
        <v>1018</v>
      </c>
      <c r="X500" s="54"/>
      <c r="Y500" s="60"/>
      <c r="Z500" s="100"/>
      <c r="AA500" s="56"/>
      <c r="AB500" s="56"/>
      <c r="AC500" s="54"/>
    </row>
    <row r="501" spans="1:29" s="7" customFormat="1" outlineLevel="2" x14ac:dyDescent="0.25">
      <c r="A501" s="50" t="s">
        <v>5</v>
      </c>
      <c r="B501" s="50" t="s">
        <v>5</v>
      </c>
      <c r="C501" s="50" t="s">
        <v>4</v>
      </c>
      <c r="D501" s="52" t="s">
        <v>321</v>
      </c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8"/>
      <c r="T501" s="58"/>
      <c r="U501" s="53" t="s">
        <v>2517</v>
      </c>
      <c r="V501" s="54">
        <v>4</v>
      </c>
      <c r="W501" s="55" t="s">
        <v>1019</v>
      </c>
      <c r="X501" s="54"/>
      <c r="Y501" s="54"/>
      <c r="Z501" s="100"/>
      <c r="AA501" s="56"/>
      <c r="AB501" s="56"/>
      <c r="AC501" s="54"/>
    </row>
    <row r="502" spans="1:29" s="7" customFormat="1" outlineLevel="2" x14ac:dyDescent="0.25">
      <c r="A502" s="50" t="s">
        <v>5</v>
      </c>
      <c r="B502" s="50" t="s">
        <v>5</v>
      </c>
      <c r="C502" s="50" t="s">
        <v>4</v>
      </c>
      <c r="D502" s="52" t="s">
        <v>212</v>
      </c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8"/>
      <c r="T502" s="58"/>
      <c r="U502" s="53" t="s">
        <v>2518</v>
      </c>
      <c r="V502" s="54">
        <v>4</v>
      </c>
      <c r="W502" s="55" t="s">
        <v>1019</v>
      </c>
      <c r="X502" s="54"/>
      <c r="Y502" s="54"/>
      <c r="Z502" s="100"/>
      <c r="AA502" s="56"/>
      <c r="AB502" s="56"/>
      <c r="AC502" s="54"/>
    </row>
    <row r="503" spans="1:29" s="7" customFormat="1" outlineLevel="2" x14ac:dyDescent="0.25">
      <c r="A503" s="50" t="s">
        <v>5</v>
      </c>
      <c r="B503" s="50" t="s">
        <v>5</v>
      </c>
      <c r="C503" s="50" t="s">
        <v>4</v>
      </c>
      <c r="D503" s="52" t="s">
        <v>321</v>
      </c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8"/>
      <c r="T503" s="58"/>
      <c r="U503" s="53" t="s">
        <v>2496</v>
      </c>
      <c r="V503" s="54">
        <v>4</v>
      </c>
      <c r="W503" s="55" t="s">
        <v>1019</v>
      </c>
      <c r="X503" s="54"/>
      <c r="Y503" s="54"/>
      <c r="Z503" s="100"/>
      <c r="AA503" s="56"/>
      <c r="AB503" s="56"/>
      <c r="AC503" s="54"/>
    </row>
    <row r="504" spans="1:29" s="7" customFormat="1" outlineLevel="2" x14ac:dyDescent="0.25">
      <c r="A504" s="50" t="s">
        <v>5</v>
      </c>
      <c r="B504" s="50" t="s">
        <v>5</v>
      </c>
      <c r="C504" s="50" t="s">
        <v>4</v>
      </c>
      <c r="D504" s="52" t="s">
        <v>1097</v>
      </c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8"/>
      <c r="T504" s="58"/>
      <c r="U504" s="53" t="s">
        <v>2519</v>
      </c>
      <c r="V504" s="54">
        <v>2</v>
      </c>
      <c r="W504" s="55" t="s">
        <v>1019</v>
      </c>
      <c r="X504" s="54"/>
      <c r="Y504" s="54"/>
      <c r="Z504" s="100"/>
      <c r="AA504" s="56"/>
      <c r="AB504" s="56"/>
      <c r="AC504" s="54"/>
    </row>
    <row r="505" spans="1:29" s="7" customFormat="1" outlineLevel="2" x14ac:dyDescent="0.25">
      <c r="A505" s="50" t="s">
        <v>5</v>
      </c>
      <c r="B505" s="50" t="s">
        <v>5</v>
      </c>
      <c r="C505" s="50" t="s">
        <v>4</v>
      </c>
      <c r="D505" s="52" t="s">
        <v>532</v>
      </c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8"/>
      <c r="T505" s="58"/>
      <c r="U505" s="53" t="s">
        <v>2520</v>
      </c>
      <c r="V505" s="54">
        <v>1</v>
      </c>
      <c r="W505" s="55" t="s">
        <v>1019</v>
      </c>
      <c r="X505" s="54"/>
      <c r="Y505" s="54"/>
      <c r="Z505" s="100"/>
      <c r="AA505" s="56"/>
      <c r="AB505" s="56"/>
      <c r="AC505" s="54"/>
    </row>
    <row r="506" spans="1:29" s="7" customFormat="1" outlineLevel="2" x14ac:dyDescent="0.25">
      <c r="A506" s="50" t="s">
        <v>5</v>
      </c>
      <c r="B506" s="50" t="s">
        <v>5</v>
      </c>
      <c r="C506" s="50" t="s">
        <v>4</v>
      </c>
      <c r="D506" s="52" t="s">
        <v>949</v>
      </c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8"/>
      <c r="U506" s="53" t="s">
        <v>2265</v>
      </c>
      <c r="V506" s="54">
        <v>1</v>
      </c>
      <c r="W506" s="55" t="s">
        <v>1019</v>
      </c>
      <c r="X506" s="54"/>
      <c r="Y506" s="54"/>
      <c r="Z506" s="100"/>
      <c r="AA506" s="56"/>
      <c r="AB506" s="56"/>
      <c r="AC506" s="54"/>
    </row>
    <row r="507" spans="1:29" s="7" customFormat="1" outlineLevel="2" x14ac:dyDescent="0.25">
      <c r="A507" s="50" t="s">
        <v>5</v>
      </c>
      <c r="B507" s="50" t="s">
        <v>5</v>
      </c>
      <c r="C507" s="50" t="s">
        <v>4</v>
      </c>
      <c r="D507" s="52" t="s">
        <v>2130</v>
      </c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8"/>
      <c r="T507" s="58"/>
      <c r="U507" s="53" t="s">
        <v>2266</v>
      </c>
      <c r="V507" s="54">
        <v>1</v>
      </c>
      <c r="W507" s="55" t="s">
        <v>1019</v>
      </c>
      <c r="X507" s="54"/>
      <c r="Y507" s="54"/>
      <c r="Z507" s="100"/>
      <c r="AA507" s="56"/>
      <c r="AB507" s="56"/>
      <c r="AC507" s="54"/>
    </row>
    <row r="508" spans="1:29" s="7" customFormat="1" outlineLevel="2" x14ac:dyDescent="0.25">
      <c r="A508" s="50" t="s">
        <v>5</v>
      </c>
      <c r="B508" s="50" t="s">
        <v>5</v>
      </c>
      <c r="C508" s="50" t="s">
        <v>4</v>
      </c>
      <c r="D508" s="52" t="s">
        <v>2175</v>
      </c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8"/>
      <c r="T508" s="58"/>
      <c r="U508" s="53" t="s">
        <v>2267</v>
      </c>
      <c r="V508" s="54">
        <v>1</v>
      </c>
      <c r="W508" s="55" t="s">
        <v>1019</v>
      </c>
      <c r="X508" s="54"/>
      <c r="Y508" s="54"/>
      <c r="Z508" s="100"/>
      <c r="AA508" s="56"/>
      <c r="AB508" s="56"/>
      <c r="AC508" s="54"/>
    </row>
    <row r="509" spans="1:29" s="7" customFormat="1" outlineLevel="2" x14ac:dyDescent="0.25">
      <c r="A509" s="50" t="s">
        <v>5</v>
      </c>
      <c r="B509" s="50" t="s">
        <v>5</v>
      </c>
      <c r="C509" s="50" t="s">
        <v>4</v>
      </c>
      <c r="D509" s="52" t="s">
        <v>1098</v>
      </c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8"/>
      <c r="T509" s="58"/>
      <c r="U509" s="53" t="s">
        <v>2268</v>
      </c>
      <c r="V509" s="54">
        <v>1</v>
      </c>
      <c r="W509" s="55" t="s">
        <v>1019</v>
      </c>
      <c r="X509" s="54"/>
      <c r="Y509" s="54"/>
      <c r="Z509" s="100"/>
      <c r="AA509" s="56"/>
      <c r="AB509" s="56"/>
      <c r="AC509" s="54"/>
    </row>
    <row r="510" spans="1:29" s="7" customFormat="1" outlineLevel="2" x14ac:dyDescent="0.25">
      <c r="A510" s="50" t="s">
        <v>5</v>
      </c>
      <c r="B510" s="50" t="s">
        <v>5</v>
      </c>
      <c r="C510" s="50" t="s">
        <v>4</v>
      </c>
      <c r="D510" s="52" t="s">
        <v>1764</v>
      </c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8"/>
      <c r="T510" s="58"/>
      <c r="U510" s="53"/>
      <c r="V510" s="54">
        <v>24</v>
      </c>
      <c r="W510" s="55" t="s">
        <v>1019</v>
      </c>
      <c r="X510" s="54"/>
      <c r="Y510" s="54"/>
      <c r="Z510" s="100"/>
      <c r="AA510" s="56"/>
      <c r="AB510" s="56"/>
      <c r="AC510" s="54"/>
    </row>
    <row r="511" spans="1:29" s="7" customFormat="1" outlineLevel="2" x14ac:dyDescent="0.25">
      <c r="A511" s="50" t="s">
        <v>5</v>
      </c>
      <c r="B511" s="50" t="s">
        <v>5</v>
      </c>
      <c r="C511" s="50" t="s">
        <v>4</v>
      </c>
      <c r="D511" s="52" t="s">
        <v>1765</v>
      </c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8"/>
      <c r="T511" s="58"/>
      <c r="U511" s="53"/>
      <c r="V511" s="54">
        <v>16</v>
      </c>
      <c r="W511" s="55" t="s">
        <v>1019</v>
      </c>
      <c r="X511" s="54"/>
      <c r="Y511" s="54"/>
      <c r="Z511" s="100"/>
      <c r="AA511" s="56"/>
      <c r="AB511" s="56"/>
      <c r="AC511" s="54"/>
    </row>
    <row r="512" spans="1:29" s="7" customFormat="1" outlineLevel="2" x14ac:dyDescent="0.25">
      <c r="A512" s="50" t="s">
        <v>5</v>
      </c>
      <c r="B512" s="50" t="s">
        <v>5</v>
      </c>
      <c r="C512" s="50" t="s">
        <v>4</v>
      </c>
      <c r="D512" s="52" t="s">
        <v>1766</v>
      </c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8"/>
      <c r="T512" s="58"/>
      <c r="U512" s="53"/>
      <c r="V512" s="54">
        <v>2</v>
      </c>
      <c r="W512" s="55" t="s">
        <v>1019</v>
      </c>
      <c r="X512" s="54"/>
      <c r="Y512" s="54"/>
      <c r="Z512" s="100"/>
      <c r="AA512" s="56"/>
      <c r="AB512" s="56"/>
      <c r="AC512" s="54"/>
    </row>
    <row r="513" spans="1:29" s="7" customFormat="1" outlineLevel="2" x14ac:dyDescent="0.25">
      <c r="A513" s="50" t="s">
        <v>5</v>
      </c>
      <c r="B513" s="50" t="s">
        <v>5</v>
      </c>
      <c r="C513" s="50" t="s">
        <v>4</v>
      </c>
      <c r="D513" s="52" t="s">
        <v>1778</v>
      </c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8"/>
      <c r="U513" s="53"/>
      <c r="V513" s="54">
        <v>4</v>
      </c>
      <c r="W513" s="55" t="s">
        <v>1019</v>
      </c>
      <c r="X513" s="54"/>
      <c r="Y513" s="54"/>
      <c r="Z513" s="100"/>
      <c r="AA513" s="56"/>
      <c r="AB513" s="56"/>
      <c r="AC513" s="54"/>
    </row>
    <row r="514" spans="1:29" s="7" customFormat="1" outlineLevel="2" x14ac:dyDescent="0.25">
      <c r="A514" s="50" t="s">
        <v>5</v>
      </c>
      <c r="B514" s="50" t="s">
        <v>5</v>
      </c>
      <c r="C514" s="50" t="s">
        <v>4</v>
      </c>
      <c r="D514" s="52" t="s">
        <v>1767</v>
      </c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8"/>
      <c r="T514" s="58"/>
      <c r="U514" s="53"/>
      <c r="V514" s="54">
        <v>4</v>
      </c>
      <c r="W514" s="55" t="s">
        <v>1019</v>
      </c>
      <c r="X514" s="54"/>
      <c r="Y514" s="54"/>
      <c r="Z514" s="100"/>
      <c r="AA514" s="56"/>
      <c r="AB514" s="56"/>
      <c r="AC514" s="54"/>
    </row>
    <row r="515" spans="1:29" s="7" customFormat="1" outlineLevel="2" x14ac:dyDescent="0.25">
      <c r="A515" s="50" t="s">
        <v>5</v>
      </c>
      <c r="B515" s="50" t="s">
        <v>5</v>
      </c>
      <c r="C515" s="50" t="s">
        <v>4</v>
      </c>
      <c r="D515" s="52" t="s">
        <v>1768</v>
      </c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8"/>
      <c r="T515" s="58"/>
      <c r="U515" s="53"/>
      <c r="V515" s="54">
        <v>2</v>
      </c>
      <c r="W515" s="55" t="s">
        <v>1019</v>
      </c>
      <c r="X515" s="54"/>
      <c r="Y515" s="54"/>
      <c r="Z515" s="100"/>
      <c r="AA515" s="56"/>
      <c r="AB515" s="56"/>
      <c r="AC515" s="54"/>
    </row>
    <row r="516" spans="1:29" s="7" customFormat="1" outlineLevel="2" x14ac:dyDescent="0.25">
      <c r="A516" s="50" t="s">
        <v>5</v>
      </c>
      <c r="B516" s="50" t="s">
        <v>5</v>
      </c>
      <c r="C516" s="50" t="s">
        <v>4</v>
      </c>
      <c r="D516" s="52" t="s">
        <v>1769</v>
      </c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8"/>
      <c r="T516" s="58"/>
      <c r="U516" s="53"/>
      <c r="V516" s="54">
        <v>1</v>
      </c>
      <c r="W516" s="55" t="s">
        <v>1019</v>
      </c>
      <c r="X516" s="54"/>
      <c r="Y516" s="54"/>
      <c r="Z516" s="100"/>
      <c r="AA516" s="56"/>
      <c r="AB516" s="56"/>
      <c r="AC516" s="54"/>
    </row>
    <row r="517" spans="1:29" s="7" customFormat="1" outlineLevel="2" x14ac:dyDescent="0.25">
      <c r="A517" s="50" t="s">
        <v>5</v>
      </c>
      <c r="B517" s="50" t="s">
        <v>5</v>
      </c>
      <c r="C517" s="50" t="s">
        <v>4</v>
      </c>
      <c r="D517" s="52" t="s">
        <v>1799</v>
      </c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8"/>
      <c r="T517" s="58"/>
      <c r="U517" s="53"/>
      <c r="V517" s="54">
        <v>1</v>
      </c>
      <c r="W517" s="55" t="s">
        <v>1019</v>
      </c>
      <c r="X517" s="54"/>
      <c r="Y517" s="54"/>
      <c r="Z517" s="100"/>
      <c r="AA517" s="56"/>
      <c r="AB517" s="56"/>
      <c r="AC517" s="54"/>
    </row>
    <row r="518" spans="1:29" s="7" customFormat="1" outlineLevel="2" x14ac:dyDescent="0.25">
      <c r="A518" s="50" t="s">
        <v>5</v>
      </c>
      <c r="B518" s="50" t="s">
        <v>5</v>
      </c>
      <c r="C518" s="50" t="s">
        <v>4</v>
      </c>
      <c r="D518" s="52" t="s">
        <v>1800</v>
      </c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8"/>
      <c r="T518" s="58"/>
      <c r="U518" s="53"/>
      <c r="V518" s="54">
        <v>1</v>
      </c>
      <c r="W518" s="55" t="s">
        <v>1019</v>
      </c>
      <c r="X518" s="54"/>
      <c r="Y518" s="54"/>
      <c r="Z518" s="100"/>
      <c r="AA518" s="56"/>
      <c r="AB518" s="56"/>
      <c r="AC518" s="54"/>
    </row>
    <row r="519" spans="1:29" s="7" customFormat="1" outlineLevel="2" x14ac:dyDescent="0.25">
      <c r="A519" s="50" t="s">
        <v>5</v>
      </c>
      <c r="B519" s="50" t="s">
        <v>5</v>
      </c>
      <c r="C519" s="50" t="s">
        <v>4</v>
      </c>
      <c r="D519" s="52" t="s">
        <v>1794</v>
      </c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8"/>
      <c r="T519" s="58"/>
      <c r="U519" s="53"/>
      <c r="V519" s="54">
        <v>1</v>
      </c>
      <c r="W519" s="55" t="s">
        <v>1019</v>
      </c>
      <c r="X519" s="54"/>
      <c r="Y519" s="54"/>
      <c r="Z519" s="100"/>
      <c r="AA519" s="56"/>
      <c r="AB519" s="56"/>
      <c r="AC519" s="54"/>
    </row>
    <row r="520" spans="1:29" s="7" customFormat="1" outlineLevel="2" x14ac:dyDescent="0.25">
      <c r="A520" s="50" t="s">
        <v>5</v>
      </c>
      <c r="B520" s="50" t="s">
        <v>5</v>
      </c>
      <c r="C520" s="50" t="s">
        <v>4</v>
      </c>
      <c r="D520" s="52" t="s">
        <v>1795</v>
      </c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8"/>
      <c r="U520" s="53"/>
      <c r="V520" s="54">
        <v>3</v>
      </c>
      <c r="W520" s="55" t="s">
        <v>1019</v>
      </c>
      <c r="X520" s="54"/>
      <c r="Y520" s="54"/>
      <c r="Z520" s="100"/>
      <c r="AA520" s="56"/>
      <c r="AB520" s="56"/>
      <c r="AC520" s="54"/>
    </row>
    <row r="521" spans="1:29" s="7" customFormat="1" outlineLevel="2" x14ac:dyDescent="0.25">
      <c r="A521" s="50" t="s">
        <v>5</v>
      </c>
      <c r="B521" s="50" t="s">
        <v>5</v>
      </c>
      <c r="C521" s="50" t="s">
        <v>4</v>
      </c>
      <c r="D521" s="52" t="s">
        <v>1796</v>
      </c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8"/>
      <c r="T521" s="58"/>
      <c r="U521" s="53"/>
      <c r="V521" s="54">
        <v>12</v>
      </c>
      <c r="W521" s="55" t="s">
        <v>1019</v>
      </c>
      <c r="X521" s="54"/>
      <c r="Y521" s="54"/>
      <c r="Z521" s="100"/>
      <c r="AA521" s="56"/>
      <c r="AB521" s="56"/>
      <c r="AC521" s="54"/>
    </row>
    <row r="522" spans="1:29" s="7" customFormat="1" outlineLevel="2" x14ac:dyDescent="0.25">
      <c r="A522" s="50" t="s">
        <v>5</v>
      </c>
      <c r="B522" s="50" t="s">
        <v>5</v>
      </c>
      <c r="C522" s="50" t="s">
        <v>4</v>
      </c>
      <c r="D522" s="52" t="s">
        <v>1797</v>
      </c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8"/>
      <c r="T522" s="58"/>
      <c r="U522" s="53"/>
      <c r="V522" s="54">
        <v>12</v>
      </c>
      <c r="W522" s="55" t="s">
        <v>1019</v>
      </c>
      <c r="X522" s="54"/>
      <c r="Y522" s="54"/>
      <c r="Z522" s="100"/>
      <c r="AA522" s="56"/>
      <c r="AB522" s="56"/>
      <c r="AC522" s="54"/>
    </row>
    <row r="523" spans="1:29" s="7" customFormat="1" outlineLevel="2" x14ac:dyDescent="0.25">
      <c r="A523" s="50" t="s">
        <v>5</v>
      </c>
      <c r="B523" s="50" t="s">
        <v>5</v>
      </c>
      <c r="C523" s="50" t="s">
        <v>4</v>
      </c>
      <c r="D523" s="52" t="s">
        <v>1770</v>
      </c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8"/>
      <c r="T523" s="58"/>
      <c r="U523" s="53"/>
      <c r="V523" s="54">
        <v>2</v>
      </c>
      <c r="W523" s="55" t="s">
        <v>1019</v>
      </c>
      <c r="X523" s="54"/>
      <c r="Y523" s="54"/>
      <c r="Z523" s="100"/>
      <c r="AA523" s="56"/>
      <c r="AB523" s="56"/>
      <c r="AC523" s="54"/>
    </row>
    <row r="524" spans="1:29" s="7" customFormat="1" outlineLevel="2" x14ac:dyDescent="0.25">
      <c r="A524" s="50" t="s">
        <v>5</v>
      </c>
      <c r="B524" s="50" t="s">
        <v>5</v>
      </c>
      <c r="C524" s="50" t="s">
        <v>4</v>
      </c>
      <c r="D524" s="52" t="s">
        <v>1771</v>
      </c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8"/>
      <c r="T524" s="58"/>
      <c r="U524" s="53"/>
      <c r="V524" s="54">
        <v>4</v>
      </c>
      <c r="W524" s="55" t="s">
        <v>1019</v>
      </c>
      <c r="X524" s="54"/>
      <c r="Y524" s="54"/>
      <c r="Z524" s="100"/>
      <c r="AA524" s="56"/>
      <c r="AB524" s="56"/>
      <c r="AC524" s="54"/>
    </row>
    <row r="525" spans="1:29" s="7" customFormat="1" outlineLevel="2" x14ac:dyDescent="0.25">
      <c r="A525" s="50" t="s">
        <v>5</v>
      </c>
      <c r="B525" s="50" t="s">
        <v>5</v>
      </c>
      <c r="C525" s="50" t="s">
        <v>4</v>
      </c>
      <c r="D525" s="52" t="s">
        <v>1798</v>
      </c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8"/>
      <c r="T525" s="58"/>
      <c r="U525" s="53"/>
      <c r="V525" s="54">
        <v>4</v>
      </c>
      <c r="W525" s="55" t="s">
        <v>1019</v>
      </c>
      <c r="X525" s="54"/>
      <c r="Y525" s="54"/>
      <c r="Z525" s="100"/>
      <c r="AA525" s="56"/>
      <c r="AB525" s="56"/>
      <c r="AC525" s="54"/>
    </row>
    <row r="526" spans="1:29" s="7" customFormat="1" outlineLevel="2" x14ac:dyDescent="0.25">
      <c r="A526" s="50" t="s">
        <v>5</v>
      </c>
      <c r="B526" s="50" t="s">
        <v>5</v>
      </c>
      <c r="C526" s="50" t="s">
        <v>4</v>
      </c>
      <c r="D526" s="52" t="s">
        <v>1023</v>
      </c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8"/>
      <c r="T526" s="58"/>
      <c r="U526" s="53"/>
      <c r="V526" s="54">
        <v>24</v>
      </c>
      <c r="W526" s="55" t="s">
        <v>1019</v>
      </c>
      <c r="X526" s="54"/>
      <c r="Y526" s="54"/>
      <c r="Z526" s="100"/>
      <c r="AA526" s="56"/>
      <c r="AB526" s="56"/>
      <c r="AC526" s="54"/>
    </row>
    <row r="527" spans="1:29" s="7" customFormat="1" outlineLevel="2" x14ac:dyDescent="0.25">
      <c r="A527" s="50" t="s">
        <v>5</v>
      </c>
      <c r="B527" s="50" t="s">
        <v>5</v>
      </c>
      <c r="C527" s="50" t="s">
        <v>4</v>
      </c>
      <c r="D527" s="52" t="s">
        <v>1089</v>
      </c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8"/>
      <c r="U527" s="53"/>
      <c r="V527" s="54">
        <v>16</v>
      </c>
      <c r="W527" s="55" t="s">
        <v>1019</v>
      </c>
      <c r="X527" s="54"/>
      <c r="Y527" s="54"/>
      <c r="Z527" s="100"/>
      <c r="AA527" s="56"/>
      <c r="AB527" s="56"/>
      <c r="AC527" s="54"/>
    </row>
    <row r="528" spans="1:29" s="7" customFormat="1" outlineLevel="2" x14ac:dyDescent="0.25">
      <c r="A528" s="50" t="s">
        <v>5</v>
      </c>
      <c r="B528" s="50" t="s">
        <v>5</v>
      </c>
      <c r="C528" s="50" t="s">
        <v>4</v>
      </c>
      <c r="D528" s="52" t="s">
        <v>1099</v>
      </c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8"/>
      <c r="T528" s="58"/>
      <c r="U528" s="53"/>
      <c r="V528" s="54">
        <v>5</v>
      </c>
      <c r="W528" s="55" t="s">
        <v>1019</v>
      </c>
      <c r="X528" s="54"/>
      <c r="Y528" s="54"/>
      <c r="Z528" s="100"/>
      <c r="AA528" s="56"/>
      <c r="AB528" s="56"/>
      <c r="AC528" s="54"/>
    </row>
    <row r="529" spans="1:29" s="7" customFormat="1" outlineLevel="2" x14ac:dyDescent="0.25">
      <c r="A529" s="50" t="s">
        <v>5</v>
      </c>
      <c r="B529" s="50" t="s">
        <v>5</v>
      </c>
      <c r="C529" s="50" t="s">
        <v>4</v>
      </c>
      <c r="D529" s="52" t="s">
        <v>1100</v>
      </c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8"/>
      <c r="T529" s="58"/>
      <c r="U529" s="53"/>
      <c r="V529" s="54">
        <v>15</v>
      </c>
      <c r="W529" s="55" t="s">
        <v>1019</v>
      </c>
      <c r="X529" s="54"/>
      <c r="Y529" s="54"/>
      <c r="Z529" s="100"/>
      <c r="AA529" s="56"/>
      <c r="AB529" s="56"/>
      <c r="AC529" s="54"/>
    </row>
    <row r="530" spans="1:29" s="7" customFormat="1" outlineLevel="2" x14ac:dyDescent="0.25">
      <c r="A530" s="50" t="s">
        <v>5</v>
      </c>
      <c r="B530" s="50" t="s">
        <v>5</v>
      </c>
      <c r="C530" s="50" t="s">
        <v>4</v>
      </c>
      <c r="D530" s="52" t="s">
        <v>1101</v>
      </c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8"/>
      <c r="T530" s="58"/>
      <c r="U530" s="53"/>
      <c r="V530" s="54">
        <v>3</v>
      </c>
      <c r="W530" s="55" t="s">
        <v>1019</v>
      </c>
      <c r="X530" s="54"/>
      <c r="Y530" s="54"/>
      <c r="Z530" s="100"/>
      <c r="AA530" s="56"/>
      <c r="AB530" s="56"/>
      <c r="AC530" s="54"/>
    </row>
    <row r="531" spans="1:29" s="7" customFormat="1" outlineLevel="2" x14ac:dyDescent="0.25">
      <c r="A531" s="50" t="s">
        <v>5</v>
      </c>
      <c r="B531" s="50" t="s">
        <v>5</v>
      </c>
      <c r="C531" s="50" t="s">
        <v>4</v>
      </c>
      <c r="D531" s="52" t="s">
        <v>1102</v>
      </c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8"/>
      <c r="T531" s="58"/>
      <c r="U531" s="53"/>
      <c r="V531" s="54">
        <v>12</v>
      </c>
      <c r="W531" s="55" t="s">
        <v>1019</v>
      </c>
      <c r="X531" s="54"/>
      <c r="Y531" s="54"/>
      <c r="Z531" s="100"/>
      <c r="AA531" s="56"/>
      <c r="AB531" s="56"/>
      <c r="AC531" s="54"/>
    </row>
    <row r="532" spans="1:29" s="7" customFormat="1" outlineLevel="2" x14ac:dyDescent="0.25">
      <c r="A532" s="50" t="s">
        <v>5</v>
      </c>
      <c r="B532" s="50" t="s">
        <v>5</v>
      </c>
      <c r="C532" s="50" t="s">
        <v>4</v>
      </c>
      <c r="D532" s="52" t="s">
        <v>1103</v>
      </c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8"/>
      <c r="T532" s="58"/>
      <c r="U532" s="53"/>
      <c r="V532" s="54">
        <v>8</v>
      </c>
      <c r="W532" s="55" t="s">
        <v>1019</v>
      </c>
      <c r="X532" s="54"/>
      <c r="Y532" s="54"/>
      <c r="Z532" s="100"/>
      <c r="AA532" s="56"/>
      <c r="AB532" s="56"/>
      <c r="AC532" s="54"/>
    </row>
    <row r="533" spans="1:29" s="7" customFormat="1" outlineLevel="2" x14ac:dyDescent="0.25">
      <c r="A533" s="50" t="s">
        <v>5</v>
      </c>
      <c r="B533" s="50" t="s">
        <v>5</v>
      </c>
      <c r="C533" s="50" t="s">
        <v>4</v>
      </c>
      <c r="D533" s="52" t="s">
        <v>1024</v>
      </c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8"/>
      <c r="T533" s="58"/>
      <c r="U533" s="53"/>
      <c r="V533" s="54">
        <v>24</v>
      </c>
      <c r="W533" s="55" t="s">
        <v>1019</v>
      </c>
      <c r="X533" s="54"/>
      <c r="Y533" s="54"/>
      <c r="Z533" s="100"/>
      <c r="AA533" s="56"/>
      <c r="AB533" s="56"/>
      <c r="AC533" s="54"/>
    </row>
    <row r="534" spans="1:29" s="7" customFormat="1" outlineLevel="2" x14ac:dyDescent="0.25">
      <c r="A534" s="50" t="s">
        <v>5</v>
      </c>
      <c r="B534" s="50" t="s">
        <v>5</v>
      </c>
      <c r="C534" s="50" t="s">
        <v>4</v>
      </c>
      <c r="D534" s="52" t="s">
        <v>1090</v>
      </c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8"/>
      <c r="T534" s="58"/>
      <c r="U534" s="53"/>
      <c r="V534" s="54">
        <v>34</v>
      </c>
      <c r="W534" s="55" t="s">
        <v>1019</v>
      </c>
      <c r="X534" s="54"/>
      <c r="Y534" s="54"/>
      <c r="Z534" s="100"/>
      <c r="AA534" s="56"/>
      <c r="AB534" s="56"/>
      <c r="AC534" s="54"/>
    </row>
    <row r="535" spans="1:29" s="7" customFormat="1" outlineLevel="2" x14ac:dyDescent="0.25">
      <c r="A535" s="50" t="s">
        <v>5</v>
      </c>
      <c r="B535" s="50" t="s">
        <v>5</v>
      </c>
      <c r="C535" s="50" t="s">
        <v>4</v>
      </c>
      <c r="D535" s="52" t="s">
        <v>1104</v>
      </c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8"/>
      <c r="U535" s="53"/>
      <c r="V535" s="54">
        <v>5</v>
      </c>
      <c r="W535" s="55" t="s">
        <v>1019</v>
      </c>
      <c r="X535" s="54"/>
      <c r="Y535" s="54"/>
      <c r="Z535" s="100"/>
      <c r="AA535" s="56"/>
      <c r="AB535" s="56"/>
      <c r="AC535" s="54"/>
    </row>
    <row r="536" spans="1:29" s="7" customFormat="1" outlineLevel="2" x14ac:dyDescent="0.25">
      <c r="A536" s="50" t="s">
        <v>5</v>
      </c>
      <c r="B536" s="50" t="s">
        <v>5</v>
      </c>
      <c r="C536" s="50" t="s">
        <v>4</v>
      </c>
      <c r="D536" s="52" t="s">
        <v>1105</v>
      </c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8"/>
      <c r="T536" s="58"/>
      <c r="U536" s="53"/>
      <c r="V536" s="54">
        <v>11</v>
      </c>
      <c r="W536" s="55" t="s">
        <v>1019</v>
      </c>
      <c r="X536" s="54"/>
      <c r="Y536" s="54"/>
      <c r="Z536" s="100"/>
      <c r="AA536" s="56"/>
      <c r="AB536" s="56"/>
      <c r="AC536" s="54"/>
    </row>
    <row r="537" spans="1:29" s="7" customFormat="1" outlineLevel="2" x14ac:dyDescent="0.25">
      <c r="A537" s="50" t="s">
        <v>5</v>
      </c>
      <c r="B537" s="50" t="s">
        <v>5</v>
      </c>
      <c r="C537" s="50" t="s">
        <v>4</v>
      </c>
      <c r="D537" s="52" t="s">
        <v>1106</v>
      </c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8"/>
      <c r="T537" s="58"/>
      <c r="U537" s="53"/>
      <c r="V537" s="54">
        <v>2</v>
      </c>
      <c r="W537" s="55" t="s">
        <v>1019</v>
      </c>
      <c r="X537" s="54"/>
      <c r="Y537" s="54"/>
      <c r="Z537" s="100"/>
      <c r="AA537" s="56"/>
      <c r="AB537" s="56"/>
      <c r="AC537" s="54"/>
    </row>
    <row r="538" spans="1:29" s="7" customFormat="1" outlineLevel="2" x14ac:dyDescent="0.25">
      <c r="A538" s="50" t="s">
        <v>5</v>
      </c>
      <c r="B538" s="50" t="s">
        <v>5</v>
      </c>
      <c r="C538" s="50" t="s">
        <v>4</v>
      </c>
      <c r="D538" s="52" t="s">
        <v>1107</v>
      </c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8"/>
      <c r="T538" s="58"/>
      <c r="U538" s="53"/>
      <c r="V538" s="54">
        <v>8</v>
      </c>
      <c r="W538" s="55" t="s">
        <v>1019</v>
      </c>
      <c r="X538" s="54"/>
      <c r="Y538" s="54"/>
      <c r="Z538" s="100"/>
      <c r="AA538" s="56"/>
      <c r="AB538" s="56"/>
      <c r="AC538" s="54"/>
    </row>
    <row r="539" spans="1:29" s="7" customFormat="1" outlineLevel="2" x14ac:dyDescent="0.25">
      <c r="A539" s="50" t="s">
        <v>5</v>
      </c>
      <c r="B539" s="50" t="s">
        <v>5</v>
      </c>
      <c r="C539" s="50" t="s">
        <v>4</v>
      </c>
      <c r="D539" s="52" t="s">
        <v>1108</v>
      </c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8"/>
      <c r="T539" s="58"/>
      <c r="U539" s="53"/>
      <c r="V539" s="54">
        <v>14</v>
      </c>
      <c r="W539" s="55" t="s">
        <v>1019</v>
      </c>
      <c r="X539" s="54"/>
      <c r="Y539" s="54"/>
      <c r="Z539" s="100"/>
      <c r="AA539" s="56"/>
      <c r="AB539" s="56"/>
      <c r="AC539" s="54"/>
    </row>
    <row r="540" spans="1:29" s="7" customFormat="1" outlineLevel="2" x14ac:dyDescent="0.25">
      <c r="A540" s="50" t="s">
        <v>5</v>
      </c>
      <c r="B540" s="50" t="s">
        <v>5</v>
      </c>
      <c r="C540" s="50" t="s">
        <v>4</v>
      </c>
      <c r="D540" s="52" t="s">
        <v>1779</v>
      </c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8"/>
      <c r="T540" s="58"/>
      <c r="U540" s="53"/>
      <c r="V540" s="54">
        <v>2</v>
      </c>
      <c r="W540" s="55" t="s">
        <v>1019</v>
      </c>
      <c r="X540" s="54"/>
      <c r="Y540" s="54"/>
      <c r="Z540" s="100"/>
      <c r="AA540" s="56"/>
      <c r="AB540" s="56"/>
      <c r="AC540" s="54"/>
    </row>
    <row r="541" spans="1:29" s="7" customFormat="1" outlineLevel="2" x14ac:dyDescent="0.25">
      <c r="A541" s="50" t="s">
        <v>5</v>
      </c>
      <c r="B541" s="50" t="s">
        <v>5</v>
      </c>
      <c r="C541" s="50" t="s">
        <v>4</v>
      </c>
      <c r="D541" s="52" t="s">
        <v>1780</v>
      </c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8"/>
      <c r="T541" s="58"/>
      <c r="U541" s="53"/>
      <c r="V541" s="54">
        <v>2</v>
      </c>
      <c r="W541" s="55" t="s">
        <v>1019</v>
      </c>
      <c r="X541" s="54"/>
      <c r="Y541" s="54"/>
      <c r="Z541" s="100"/>
      <c r="AA541" s="56"/>
      <c r="AB541" s="56"/>
      <c r="AC541" s="54"/>
    </row>
    <row r="542" spans="1:29" s="7" customFormat="1" outlineLevel="2" x14ac:dyDescent="0.25">
      <c r="A542" s="50" t="s">
        <v>5</v>
      </c>
      <c r="B542" s="50" t="s">
        <v>5</v>
      </c>
      <c r="C542" s="50" t="s">
        <v>4</v>
      </c>
      <c r="D542" s="52" t="s">
        <v>1109</v>
      </c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8"/>
      <c r="U542" s="53"/>
      <c r="V542" s="54">
        <v>3</v>
      </c>
      <c r="W542" s="55" t="s">
        <v>1019</v>
      </c>
      <c r="X542" s="54"/>
      <c r="Y542" s="54"/>
      <c r="Z542" s="100"/>
      <c r="AA542" s="56"/>
      <c r="AB542" s="56"/>
      <c r="AC542" s="54"/>
    </row>
    <row r="543" spans="1:29" s="7" customFormat="1" outlineLevel="2" x14ac:dyDescent="0.25">
      <c r="A543" s="50" t="s">
        <v>5</v>
      </c>
      <c r="B543" s="50" t="s">
        <v>5</v>
      </c>
      <c r="C543" s="50" t="s">
        <v>4</v>
      </c>
      <c r="D543" s="52" t="s">
        <v>1781</v>
      </c>
      <c r="E543" s="52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8"/>
      <c r="T543" s="58"/>
      <c r="U543" s="53"/>
      <c r="V543" s="54">
        <v>4</v>
      </c>
      <c r="W543" s="55" t="s">
        <v>1019</v>
      </c>
      <c r="X543" s="54"/>
      <c r="Y543" s="54"/>
      <c r="Z543" s="100"/>
      <c r="AA543" s="56"/>
      <c r="AB543" s="56"/>
      <c r="AC543" s="54"/>
    </row>
    <row r="544" spans="1:29" s="7" customFormat="1" outlineLevel="2" x14ac:dyDescent="0.25">
      <c r="A544" s="50" t="s">
        <v>5</v>
      </c>
      <c r="B544" s="50" t="s">
        <v>5</v>
      </c>
      <c r="C544" s="50" t="s">
        <v>4</v>
      </c>
      <c r="D544" s="52" t="s">
        <v>1782</v>
      </c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8"/>
      <c r="T544" s="58"/>
      <c r="U544" s="53"/>
      <c r="V544" s="54">
        <v>2</v>
      </c>
      <c r="W544" s="55" t="s">
        <v>1019</v>
      </c>
      <c r="X544" s="54"/>
      <c r="Y544" s="54"/>
      <c r="Z544" s="100"/>
      <c r="AA544" s="56"/>
      <c r="AB544" s="56"/>
      <c r="AC544" s="54"/>
    </row>
    <row r="545" spans="1:29" s="7" customFormat="1" outlineLevel="2" x14ac:dyDescent="0.25">
      <c r="A545" s="50" t="s">
        <v>5</v>
      </c>
      <c r="B545" s="50" t="s">
        <v>5</v>
      </c>
      <c r="C545" s="50" t="s">
        <v>4</v>
      </c>
      <c r="D545" s="52" t="s">
        <v>1111</v>
      </c>
      <c r="E545" s="52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8"/>
      <c r="T545" s="58"/>
      <c r="U545" s="53">
        <v>62452</v>
      </c>
      <c r="V545" s="54">
        <v>4</v>
      </c>
      <c r="W545" s="55" t="s">
        <v>1019</v>
      </c>
      <c r="X545" s="54"/>
      <c r="Y545" s="54"/>
      <c r="Z545" s="100"/>
      <c r="AA545" s="56"/>
      <c r="AB545" s="56"/>
      <c r="AC545" s="54"/>
    </row>
    <row r="546" spans="1:29" s="7" customFormat="1" outlineLevel="2" x14ac:dyDescent="0.25">
      <c r="A546" s="50" t="s">
        <v>5</v>
      </c>
      <c r="B546" s="50" t="s">
        <v>5</v>
      </c>
      <c r="C546" s="50" t="s">
        <v>4</v>
      </c>
      <c r="D546" s="52" t="s">
        <v>1112</v>
      </c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8"/>
      <c r="T546" s="58"/>
      <c r="U546" s="53"/>
      <c r="V546" s="54">
        <v>8</v>
      </c>
      <c r="W546" s="55" t="s">
        <v>1019</v>
      </c>
      <c r="X546" s="54"/>
      <c r="Y546" s="54"/>
      <c r="Z546" s="100"/>
      <c r="AA546" s="56"/>
      <c r="AB546" s="56"/>
      <c r="AC546" s="54"/>
    </row>
    <row r="547" spans="1:29" s="7" customFormat="1" outlineLevel="2" x14ac:dyDescent="0.25">
      <c r="A547" s="50" t="s">
        <v>5</v>
      </c>
      <c r="B547" s="50" t="s">
        <v>5</v>
      </c>
      <c r="C547" s="50" t="s">
        <v>4</v>
      </c>
      <c r="D547" s="52" t="s">
        <v>1113</v>
      </c>
      <c r="E547" s="52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8"/>
      <c r="U547" s="53"/>
      <c r="V547" s="54">
        <v>1</v>
      </c>
      <c r="W547" s="55" t="s">
        <v>1019</v>
      </c>
      <c r="X547" s="54"/>
      <c r="Y547" s="54"/>
      <c r="Z547" s="100"/>
      <c r="AA547" s="56"/>
      <c r="AB547" s="56"/>
      <c r="AC547" s="54"/>
    </row>
    <row r="548" spans="1:29" s="7" customFormat="1" outlineLevel="2" x14ac:dyDescent="0.25">
      <c r="A548" s="50" t="s">
        <v>5</v>
      </c>
      <c r="B548" s="50" t="s">
        <v>5</v>
      </c>
      <c r="C548" s="50" t="s">
        <v>4</v>
      </c>
      <c r="D548" s="52" t="s">
        <v>1114</v>
      </c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8"/>
      <c r="T548" s="58"/>
      <c r="U548" s="53"/>
      <c r="V548" s="54">
        <v>1</v>
      </c>
      <c r="W548" s="55" t="s">
        <v>1019</v>
      </c>
      <c r="X548" s="54"/>
      <c r="Y548" s="54"/>
      <c r="Z548" s="100"/>
      <c r="AA548" s="56"/>
      <c r="AB548" s="56"/>
      <c r="AC548" s="54"/>
    </row>
    <row r="549" spans="1:29" s="7" customFormat="1" outlineLevel="2" x14ac:dyDescent="0.25">
      <c r="A549" s="50" t="s">
        <v>5</v>
      </c>
      <c r="B549" s="50" t="s">
        <v>5</v>
      </c>
      <c r="C549" s="50" t="s">
        <v>4</v>
      </c>
      <c r="D549" s="52" t="s">
        <v>27</v>
      </c>
      <c r="E549" s="52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8"/>
      <c r="T549" s="58"/>
      <c r="U549" s="53" t="s">
        <v>1117</v>
      </c>
      <c r="V549" s="54">
        <v>1</v>
      </c>
      <c r="W549" s="55" t="s">
        <v>1019</v>
      </c>
      <c r="X549" s="54" t="s">
        <v>28</v>
      </c>
      <c r="Y549" s="60" t="s">
        <v>157</v>
      </c>
      <c r="Z549" s="100"/>
      <c r="AA549" s="56">
        <v>530</v>
      </c>
      <c r="AB549" s="56"/>
      <c r="AC549" s="54" t="s">
        <v>200</v>
      </c>
    </row>
    <row r="550" spans="1:29" s="7" customFormat="1" outlineLevel="2" x14ac:dyDescent="0.25">
      <c r="A550" s="50" t="s">
        <v>5</v>
      </c>
      <c r="B550" s="50" t="s">
        <v>5</v>
      </c>
      <c r="C550" s="50" t="s">
        <v>4</v>
      </c>
      <c r="D550" s="52" t="s">
        <v>1115</v>
      </c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8"/>
      <c r="T550" s="58"/>
      <c r="U550" s="53"/>
      <c r="V550" s="54">
        <v>10</v>
      </c>
      <c r="W550" s="55" t="s">
        <v>1019</v>
      </c>
      <c r="X550" s="54"/>
      <c r="Y550" s="54"/>
      <c r="Z550" s="100"/>
      <c r="AA550" s="56"/>
      <c r="AB550" s="56"/>
      <c r="AC550" s="54"/>
    </row>
    <row r="551" spans="1:29" s="7" customFormat="1" outlineLevel="2" x14ac:dyDescent="0.25">
      <c r="A551" s="50" t="s">
        <v>5</v>
      </c>
      <c r="B551" s="50" t="s">
        <v>5</v>
      </c>
      <c r="C551" s="50" t="s">
        <v>4</v>
      </c>
      <c r="D551" s="52" t="s">
        <v>1011</v>
      </c>
      <c r="E551" s="58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8"/>
      <c r="U551" s="53"/>
      <c r="V551" s="54">
        <v>1.2</v>
      </c>
      <c r="W551" s="55" t="s">
        <v>1018</v>
      </c>
      <c r="X551" s="54"/>
      <c r="Y551" s="59" t="s">
        <v>978</v>
      </c>
      <c r="Z551" s="100"/>
      <c r="AA551" s="56">
        <f>197.56/2</f>
        <v>98.78</v>
      </c>
      <c r="AB551" s="56"/>
      <c r="AC551" s="54" t="s">
        <v>1010</v>
      </c>
    </row>
    <row r="552" spans="1:29" s="7" customFormat="1" outlineLevel="2" x14ac:dyDescent="0.25">
      <c r="A552" s="50" t="s">
        <v>5</v>
      </c>
      <c r="B552" s="50" t="s">
        <v>5</v>
      </c>
      <c r="C552" s="50" t="s">
        <v>4</v>
      </c>
      <c r="D552" s="52" t="s">
        <v>1116</v>
      </c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8"/>
      <c r="T552" s="58"/>
      <c r="U552" s="53"/>
      <c r="V552" s="54">
        <v>5</v>
      </c>
      <c r="W552" s="55" t="s">
        <v>1019</v>
      </c>
      <c r="X552" s="54"/>
      <c r="Y552" s="54"/>
      <c r="Z552" s="100"/>
      <c r="AA552" s="56"/>
      <c r="AB552" s="56"/>
      <c r="AC552" s="54"/>
    </row>
    <row r="553" spans="1:29" s="7" customFormat="1" outlineLevel="2" x14ac:dyDescent="0.25">
      <c r="A553" s="1" t="s">
        <v>5</v>
      </c>
      <c r="B553" s="1" t="s">
        <v>5</v>
      </c>
      <c r="C553" s="1" t="s">
        <v>4</v>
      </c>
      <c r="D553" s="13" t="s">
        <v>1118</v>
      </c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U553" s="17" t="s">
        <v>25</v>
      </c>
      <c r="V553" s="18">
        <v>1</v>
      </c>
      <c r="W553" s="47" t="s">
        <v>1019</v>
      </c>
      <c r="X553" s="18" t="s">
        <v>8</v>
      </c>
      <c r="Y553" s="21" t="s">
        <v>26</v>
      </c>
      <c r="Z553" s="98"/>
      <c r="AA553" s="19">
        <v>168</v>
      </c>
      <c r="AB553" s="19"/>
      <c r="AC553" s="18" t="s">
        <v>198</v>
      </c>
    </row>
    <row r="554" spans="1:29" s="7" customFormat="1" outlineLevel="2" x14ac:dyDescent="0.25">
      <c r="A554" s="1" t="s">
        <v>5</v>
      </c>
      <c r="B554" s="1" t="s">
        <v>5</v>
      </c>
      <c r="C554" s="1" t="s">
        <v>4</v>
      </c>
      <c r="D554" s="13" t="s">
        <v>1119</v>
      </c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U554" s="17" t="s">
        <v>13</v>
      </c>
      <c r="V554" s="18">
        <v>1</v>
      </c>
      <c r="W554" s="47" t="s">
        <v>1019</v>
      </c>
      <c r="X554" s="18" t="s">
        <v>8</v>
      </c>
      <c r="Y554" s="21" t="s">
        <v>14</v>
      </c>
      <c r="Z554" s="98"/>
      <c r="AA554" s="19">
        <v>158.13</v>
      </c>
      <c r="AB554" s="19"/>
      <c r="AC554" s="18" t="s">
        <v>199</v>
      </c>
    </row>
    <row r="555" spans="1:29" s="7" customFormat="1" outlineLevel="2" x14ac:dyDescent="0.25">
      <c r="A555" s="1" t="s">
        <v>5</v>
      </c>
      <c r="B555" s="1" t="s">
        <v>5</v>
      </c>
      <c r="C555" s="1" t="s">
        <v>4</v>
      </c>
      <c r="D555" s="13" t="s">
        <v>1120</v>
      </c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U555" s="17" t="s">
        <v>7</v>
      </c>
      <c r="V555" s="18">
        <v>1</v>
      </c>
      <c r="W555" s="47" t="s">
        <v>1019</v>
      </c>
      <c r="X555" s="18" t="s">
        <v>8</v>
      </c>
      <c r="Y555" s="21" t="s">
        <v>9</v>
      </c>
      <c r="Z555" s="98"/>
      <c r="AA555" s="19">
        <v>255.94</v>
      </c>
      <c r="AB555" s="19"/>
      <c r="AC555" s="18" t="s">
        <v>174</v>
      </c>
    </row>
    <row r="556" spans="1:29" s="7" customFormat="1" outlineLevel="2" x14ac:dyDescent="0.25">
      <c r="A556" s="1" t="s">
        <v>5</v>
      </c>
      <c r="B556" s="1" t="s">
        <v>5</v>
      </c>
      <c r="C556" s="1" t="s">
        <v>49</v>
      </c>
      <c r="D556" s="13" t="s">
        <v>1121</v>
      </c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U556" s="17" t="s">
        <v>194</v>
      </c>
      <c r="V556" s="18">
        <v>1</v>
      </c>
      <c r="W556" s="47" t="s">
        <v>1019</v>
      </c>
      <c r="X556" s="18" t="s">
        <v>193</v>
      </c>
      <c r="Y556" s="23" t="s">
        <v>195</v>
      </c>
      <c r="Z556" s="98"/>
      <c r="AA556" s="19">
        <v>216.92</v>
      </c>
      <c r="AB556" s="19"/>
      <c r="AC556" s="18" t="s">
        <v>188</v>
      </c>
    </row>
    <row r="557" spans="1:29" s="7" customFormat="1" outlineLevel="1" x14ac:dyDescent="0.25">
      <c r="A557" s="50" t="s">
        <v>5</v>
      </c>
      <c r="B557" s="50" t="s">
        <v>4</v>
      </c>
      <c r="C557" s="51" t="s">
        <v>2165</v>
      </c>
      <c r="D557" s="52"/>
      <c r="E557" s="52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3" t="s">
        <v>2269</v>
      </c>
      <c r="V557" s="54">
        <v>1</v>
      </c>
      <c r="W557" s="55" t="s">
        <v>1019</v>
      </c>
      <c r="X557" s="54"/>
      <c r="Y557" s="54"/>
      <c r="Z557" s="100"/>
      <c r="AA557" s="56"/>
      <c r="AB557" s="56"/>
      <c r="AC557" s="54"/>
    </row>
    <row r="558" spans="1:29" s="7" customFormat="1" outlineLevel="2" x14ac:dyDescent="0.25">
      <c r="A558" s="50" t="s">
        <v>5</v>
      </c>
      <c r="B558" s="50" t="s">
        <v>5</v>
      </c>
      <c r="C558" s="50" t="s">
        <v>4</v>
      </c>
      <c r="D558" s="52" t="s">
        <v>1095</v>
      </c>
      <c r="E558" s="50"/>
      <c r="F558" s="58"/>
      <c r="G558" s="58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8"/>
      <c r="U558" s="53"/>
      <c r="V558" s="54">
        <v>0.5</v>
      </c>
      <c r="W558" s="55" t="s">
        <v>1018</v>
      </c>
      <c r="X558" s="54" t="s">
        <v>1093</v>
      </c>
      <c r="Y558" s="54"/>
      <c r="Z558" s="100"/>
      <c r="AA558" s="56"/>
      <c r="AB558" s="56"/>
      <c r="AC558" s="54"/>
    </row>
    <row r="559" spans="1:29" s="7" customFormat="1" outlineLevel="2" x14ac:dyDescent="0.25">
      <c r="A559" s="50" t="s">
        <v>5</v>
      </c>
      <c r="B559" s="50" t="s">
        <v>5</v>
      </c>
      <c r="C559" s="50" t="s">
        <v>4</v>
      </c>
      <c r="D559" s="52" t="s">
        <v>1092</v>
      </c>
      <c r="E559" s="50"/>
      <c r="F559" s="58"/>
      <c r="G559" s="58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8"/>
      <c r="U559" s="53"/>
      <c r="V559" s="54">
        <v>2</v>
      </c>
      <c r="W559" s="55" t="s">
        <v>1018</v>
      </c>
      <c r="X559" s="54" t="s">
        <v>1093</v>
      </c>
      <c r="Y559" s="54"/>
      <c r="Z559" s="100"/>
      <c r="AA559" s="56"/>
      <c r="AB559" s="56"/>
      <c r="AC559" s="54"/>
    </row>
    <row r="560" spans="1:29" s="7" customFormat="1" outlineLevel="2" x14ac:dyDescent="0.25">
      <c r="A560" s="50" t="s">
        <v>5</v>
      </c>
      <c r="B560" s="50" t="s">
        <v>5</v>
      </c>
      <c r="C560" s="50" t="s">
        <v>4</v>
      </c>
      <c r="D560" s="52" t="s">
        <v>1092</v>
      </c>
      <c r="E560" s="50"/>
      <c r="F560" s="58"/>
      <c r="G560" s="58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8"/>
      <c r="U560" s="53"/>
      <c r="V560" s="54">
        <v>1.5</v>
      </c>
      <c r="W560" s="55" t="s">
        <v>1018</v>
      </c>
      <c r="X560" s="54" t="s">
        <v>1093</v>
      </c>
      <c r="Y560" s="54"/>
      <c r="Z560" s="100"/>
      <c r="AA560" s="56"/>
      <c r="AB560" s="56"/>
      <c r="AC560" s="54"/>
    </row>
    <row r="561" spans="1:29" s="7" customFormat="1" outlineLevel="2" x14ac:dyDescent="0.25">
      <c r="A561" s="50" t="s">
        <v>5</v>
      </c>
      <c r="B561" s="50" t="s">
        <v>5</v>
      </c>
      <c r="C561" s="50" t="s">
        <v>4</v>
      </c>
      <c r="D561" s="52" t="s">
        <v>1094</v>
      </c>
      <c r="E561" s="50"/>
      <c r="F561" s="58"/>
      <c r="G561" s="58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8"/>
      <c r="U561" s="53"/>
      <c r="V561" s="54">
        <v>1.1000000000000001</v>
      </c>
      <c r="W561" s="55" t="s">
        <v>1018</v>
      </c>
      <c r="X561" s="54" t="s">
        <v>1093</v>
      </c>
      <c r="Y561" s="54"/>
      <c r="Z561" s="100"/>
      <c r="AA561" s="56"/>
      <c r="AB561" s="56"/>
      <c r="AC561" s="54"/>
    </row>
    <row r="562" spans="1:29" s="7" customFormat="1" outlineLevel="2" x14ac:dyDescent="0.25">
      <c r="A562" s="50" t="s">
        <v>5</v>
      </c>
      <c r="B562" s="50" t="s">
        <v>5</v>
      </c>
      <c r="C562" s="50" t="s">
        <v>4</v>
      </c>
      <c r="D562" s="52" t="s">
        <v>1765</v>
      </c>
      <c r="E562" s="50"/>
      <c r="F562" s="58"/>
      <c r="G562" s="58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8"/>
      <c r="U562" s="53"/>
      <c r="V562" s="54">
        <v>22</v>
      </c>
      <c r="W562" s="55" t="s">
        <v>1019</v>
      </c>
      <c r="X562" s="54"/>
      <c r="Y562" s="54"/>
      <c r="Z562" s="100"/>
      <c r="AA562" s="56"/>
      <c r="AB562" s="56"/>
      <c r="AC562" s="54"/>
    </row>
    <row r="563" spans="1:29" s="7" customFormat="1" outlineLevel="2" x14ac:dyDescent="0.25">
      <c r="A563" s="50" t="s">
        <v>5</v>
      </c>
      <c r="B563" s="50" t="s">
        <v>5</v>
      </c>
      <c r="C563" s="50" t="s">
        <v>4</v>
      </c>
      <c r="D563" s="52" t="s">
        <v>1089</v>
      </c>
      <c r="E563" s="50"/>
      <c r="F563" s="58"/>
      <c r="G563" s="58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8"/>
      <c r="U563" s="53"/>
      <c r="V563" s="54">
        <v>22</v>
      </c>
      <c r="W563" s="55" t="s">
        <v>1019</v>
      </c>
      <c r="X563" s="54"/>
      <c r="Y563" s="54"/>
      <c r="Z563" s="100"/>
      <c r="AA563" s="56"/>
      <c r="AB563" s="56"/>
      <c r="AC563" s="54"/>
    </row>
    <row r="564" spans="1:29" s="7" customFormat="1" outlineLevel="2" x14ac:dyDescent="0.25">
      <c r="A564" s="50" t="s">
        <v>5</v>
      </c>
      <c r="B564" s="50" t="s">
        <v>5</v>
      </c>
      <c r="C564" s="50" t="s">
        <v>4</v>
      </c>
      <c r="D564" s="52" t="s">
        <v>1090</v>
      </c>
      <c r="E564" s="50"/>
      <c r="F564" s="58"/>
      <c r="G564" s="58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8"/>
      <c r="U564" s="53"/>
      <c r="V564" s="54">
        <v>22</v>
      </c>
      <c r="W564" s="55" t="s">
        <v>1019</v>
      </c>
      <c r="X564" s="54"/>
      <c r="Y564" s="54"/>
      <c r="Z564" s="100"/>
      <c r="AA564" s="56"/>
      <c r="AB564" s="56"/>
      <c r="AC564" s="54"/>
    </row>
    <row r="565" spans="1:29" s="7" customFormat="1" outlineLevel="2" x14ac:dyDescent="0.25">
      <c r="A565" s="50" t="s">
        <v>5</v>
      </c>
      <c r="B565" s="50" t="s">
        <v>5</v>
      </c>
      <c r="C565" s="50" t="s">
        <v>4</v>
      </c>
      <c r="D565" s="52" t="s">
        <v>1084</v>
      </c>
      <c r="E565" s="58"/>
      <c r="F565" s="58"/>
      <c r="G565" s="58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8"/>
      <c r="U565" s="53" t="s">
        <v>1086</v>
      </c>
      <c r="V565" s="54">
        <v>4</v>
      </c>
      <c r="W565" s="55" t="s">
        <v>1019</v>
      </c>
      <c r="X565" s="54"/>
      <c r="Y565" s="54"/>
      <c r="Z565" s="100"/>
      <c r="AA565" s="56"/>
      <c r="AB565" s="56"/>
      <c r="AC565" s="54"/>
    </row>
    <row r="566" spans="1:29" s="7" customFormat="1" outlineLevel="2" x14ac:dyDescent="0.25">
      <c r="A566" s="50" t="s">
        <v>5</v>
      </c>
      <c r="B566" s="50" t="s">
        <v>5</v>
      </c>
      <c r="C566" s="50" t="s">
        <v>4</v>
      </c>
      <c r="D566" s="52" t="s">
        <v>1085</v>
      </c>
      <c r="E566" s="58"/>
      <c r="F566" s="58"/>
      <c r="G566" s="58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8"/>
      <c r="U566" s="53" t="s">
        <v>1087</v>
      </c>
      <c r="V566" s="54">
        <v>18</v>
      </c>
      <c r="W566" s="55" t="s">
        <v>1019</v>
      </c>
      <c r="X566" s="54"/>
      <c r="Y566" s="54"/>
      <c r="Z566" s="100"/>
      <c r="AA566" s="56"/>
      <c r="AB566" s="56"/>
      <c r="AC566" s="54"/>
    </row>
    <row r="567" spans="1:29" s="7" customFormat="1" outlineLevel="2" x14ac:dyDescent="0.25">
      <c r="A567" s="50" t="s">
        <v>5</v>
      </c>
      <c r="B567" s="50" t="s">
        <v>5</v>
      </c>
      <c r="C567" s="50" t="s">
        <v>4</v>
      </c>
      <c r="D567" s="52" t="s">
        <v>212</v>
      </c>
      <c r="E567" s="58"/>
      <c r="F567" s="58"/>
      <c r="G567" s="58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8"/>
      <c r="U567" s="53" t="s">
        <v>2518</v>
      </c>
      <c r="V567" s="54">
        <v>4</v>
      </c>
      <c r="W567" s="55" t="s">
        <v>1019</v>
      </c>
      <c r="X567" s="54"/>
      <c r="Y567" s="54"/>
      <c r="Z567" s="100"/>
      <c r="AA567" s="56"/>
      <c r="AB567" s="56"/>
      <c r="AC567" s="54"/>
    </row>
    <row r="568" spans="1:29" s="7" customFormat="1" outlineLevel="2" x14ac:dyDescent="0.25">
      <c r="A568" s="50" t="s">
        <v>5</v>
      </c>
      <c r="B568" s="50" t="s">
        <v>5</v>
      </c>
      <c r="C568" s="50" t="s">
        <v>4</v>
      </c>
      <c r="D568" s="52" t="s">
        <v>616</v>
      </c>
      <c r="E568" s="50"/>
      <c r="F568" s="58"/>
      <c r="G568" s="58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8"/>
      <c r="U568" s="53"/>
      <c r="V568" s="54">
        <v>8</v>
      </c>
      <c r="W568" s="55" t="s">
        <v>1019</v>
      </c>
      <c r="X568" s="54"/>
      <c r="Y568" s="54"/>
      <c r="Z568" s="100"/>
      <c r="AA568" s="56"/>
      <c r="AB568" s="56"/>
      <c r="AC568" s="54"/>
    </row>
    <row r="569" spans="1:29" s="7" customFormat="1" outlineLevel="2" x14ac:dyDescent="0.25">
      <c r="A569" s="50" t="s">
        <v>5</v>
      </c>
      <c r="B569" s="50" t="s">
        <v>5</v>
      </c>
      <c r="C569" s="50" t="s">
        <v>4</v>
      </c>
      <c r="D569" s="52" t="s">
        <v>215</v>
      </c>
      <c r="E569" s="50"/>
      <c r="F569" s="58"/>
      <c r="G569" s="58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8"/>
      <c r="U569" s="53"/>
      <c r="V569" s="54">
        <v>8</v>
      </c>
      <c r="W569" s="55" t="s">
        <v>1019</v>
      </c>
      <c r="X569" s="54"/>
      <c r="Y569" s="54"/>
      <c r="Z569" s="100"/>
      <c r="AA569" s="56"/>
      <c r="AB569" s="56"/>
      <c r="AC569" s="54"/>
    </row>
    <row r="570" spans="1:29" s="7" customFormat="1" outlineLevel="2" x14ac:dyDescent="0.25">
      <c r="A570" s="50" t="s">
        <v>5</v>
      </c>
      <c r="B570" s="50" t="s">
        <v>5</v>
      </c>
      <c r="C570" s="50" t="s">
        <v>4</v>
      </c>
      <c r="D570" s="52" t="s">
        <v>214</v>
      </c>
      <c r="E570" s="50"/>
      <c r="F570" s="58"/>
      <c r="G570" s="58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8"/>
      <c r="U570" s="53"/>
      <c r="V570" s="54">
        <v>8</v>
      </c>
      <c r="W570" s="55" t="s">
        <v>1019</v>
      </c>
      <c r="X570" s="54"/>
      <c r="Y570" s="54"/>
      <c r="Z570" s="100"/>
      <c r="AA570" s="56"/>
      <c r="AB570" s="56"/>
      <c r="AC570" s="54"/>
    </row>
    <row r="571" spans="1:29" s="7" customFormat="1" outlineLevel="2" x14ac:dyDescent="0.25">
      <c r="A571" s="50" t="s">
        <v>5</v>
      </c>
      <c r="B571" s="50" t="s">
        <v>5</v>
      </c>
      <c r="C571" s="50" t="s">
        <v>4</v>
      </c>
      <c r="D571" s="52" t="s">
        <v>1088</v>
      </c>
      <c r="E571" s="58"/>
      <c r="F571" s="58"/>
      <c r="G571" s="58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8"/>
      <c r="U571" s="53"/>
      <c r="V571" s="54">
        <v>8</v>
      </c>
      <c r="W571" s="55" t="s">
        <v>1019</v>
      </c>
      <c r="X571" s="54"/>
      <c r="Y571" s="54"/>
      <c r="Z571" s="100"/>
      <c r="AA571" s="56"/>
      <c r="AB571" s="56"/>
      <c r="AC571" s="53" t="s">
        <v>1091</v>
      </c>
    </row>
    <row r="572" spans="1:29" s="7" customFormat="1" outlineLevel="2" x14ac:dyDescent="0.25">
      <c r="A572" s="50" t="s">
        <v>5</v>
      </c>
      <c r="B572" s="50" t="s">
        <v>5</v>
      </c>
      <c r="C572" s="50" t="s">
        <v>4</v>
      </c>
      <c r="D572" s="52" t="s">
        <v>592</v>
      </c>
      <c r="E572" s="58"/>
      <c r="F572" s="58"/>
      <c r="G572" s="58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8"/>
      <c r="U572" s="53"/>
      <c r="V572" s="54">
        <v>8</v>
      </c>
      <c r="W572" s="55" t="s">
        <v>1019</v>
      </c>
      <c r="X572" s="54"/>
      <c r="Y572" s="54"/>
      <c r="Z572" s="100"/>
      <c r="AA572" s="56"/>
      <c r="AB572" s="56"/>
      <c r="AC572" s="53" t="s">
        <v>1091</v>
      </c>
    </row>
    <row r="573" spans="1:29" s="7" customFormat="1" outlineLevel="2" x14ac:dyDescent="0.25">
      <c r="A573" s="50" t="s">
        <v>5</v>
      </c>
      <c r="B573" s="50" t="s">
        <v>5</v>
      </c>
      <c r="C573" s="50" t="s">
        <v>4</v>
      </c>
      <c r="D573" s="51" t="s">
        <v>2521</v>
      </c>
      <c r="E573" s="52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8"/>
      <c r="T573" s="58"/>
      <c r="U573" s="53" t="s">
        <v>2270</v>
      </c>
      <c r="V573" s="54">
        <v>1</v>
      </c>
      <c r="W573" s="55" t="s">
        <v>1019</v>
      </c>
      <c r="X573" s="54"/>
      <c r="Y573" s="54"/>
      <c r="Z573" s="100"/>
      <c r="AA573" s="56"/>
      <c r="AB573" s="56"/>
      <c r="AC573" s="54"/>
    </row>
    <row r="574" spans="1:29" s="7" customFormat="1" outlineLevel="3" x14ac:dyDescent="0.25">
      <c r="A574" s="50" t="s">
        <v>5</v>
      </c>
      <c r="B574" s="50" t="s">
        <v>5</v>
      </c>
      <c r="C574" s="50" t="s">
        <v>5</v>
      </c>
      <c r="D574" s="50" t="s">
        <v>4</v>
      </c>
      <c r="E574" s="52" t="s">
        <v>1079</v>
      </c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8"/>
      <c r="U574" s="53" t="s">
        <v>928</v>
      </c>
      <c r="V574" s="54">
        <v>1</v>
      </c>
      <c r="W574" s="55" t="s">
        <v>1019</v>
      </c>
      <c r="X574" s="54" t="s">
        <v>64</v>
      </c>
      <c r="Y574" s="60" t="s">
        <v>65</v>
      </c>
      <c r="Z574" s="100"/>
      <c r="AA574" s="56">
        <v>4020</v>
      </c>
      <c r="AB574" s="56"/>
      <c r="AC574" s="54" t="s">
        <v>2126</v>
      </c>
    </row>
    <row r="575" spans="1:29" s="7" customFormat="1" outlineLevel="3" x14ac:dyDescent="0.25">
      <c r="A575" s="50" t="s">
        <v>5</v>
      </c>
      <c r="B575" s="50" t="s">
        <v>5</v>
      </c>
      <c r="C575" s="50" t="s">
        <v>5</v>
      </c>
      <c r="D575" s="50" t="s">
        <v>4</v>
      </c>
      <c r="E575" s="52" t="s">
        <v>936</v>
      </c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8"/>
      <c r="U575" s="53">
        <v>50375033</v>
      </c>
      <c r="V575" s="54">
        <v>1</v>
      </c>
      <c r="W575" s="55" t="s">
        <v>1019</v>
      </c>
      <c r="X575" s="54" t="s">
        <v>930</v>
      </c>
      <c r="Y575" s="59" t="s">
        <v>937</v>
      </c>
      <c r="Z575" s="100"/>
      <c r="AA575" s="56">
        <v>3.33</v>
      </c>
      <c r="AB575" s="56"/>
      <c r="AC575" s="54"/>
    </row>
    <row r="576" spans="1:29" s="7" customFormat="1" outlineLevel="3" x14ac:dyDescent="0.25">
      <c r="A576" s="50" t="s">
        <v>5</v>
      </c>
      <c r="B576" s="50" t="s">
        <v>5</v>
      </c>
      <c r="C576" s="50" t="s">
        <v>5</v>
      </c>
      <c r="D576" s="50" t="s">
        <v>49</v>
      </c>
      <c r="E576" s="52" t="s">
        <v>1076</v>
      </c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8"/>
      <c r="U576" s="62" t="s">
        <v>1078</v>
      </c>
      <c r="V576" s="54">
        <v>3</v>
      </c>
      <c r="W576" s="55" t="s">
        <v>1019</v>
      </c>
      <c r="X576" s="54" t="s">
        <v>930</v>
      </c>
      <c r="Y576" s="61" t="s">
        <v>1077</v>
      </c>
      <c r="Z576" s="100"/>
      <c r="AA576" s="56"/>
      <c r="AB576" s="56"/>
      <c r="AC576" s="54"/>
    </row>
    <row r="577" spans="1:29" s="7" customFormat="1" outlineLevel="2" x14ac:dyDescent="0.25">
      <c r="A577" s="50" t="s">
        <v>5</v>
      </c>
      <c r="B577" s="50" t="s">
        <v>5</v>
      </c>
      <c r="C577" s="50" t="s">
        <v>4</v>
      </c>
      <c r="D577" s="51" t="s">
        <v>2522</v>
      </c>
      <c r="E577" s="52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8"/>
      <c r="T577" s="58"/>
      <c r="U577" s="53" t="s">
        <v>2271</v>
      </c>
      <c r="V577" s="54">
        <v>1</v>
      </c>
      <c r="W577" s="55" t="s">
        <v>1019</v>
      </c>
      <c r="X577" s="54"/>
      <c r="Y577" s="54"/>
      <c r="Z577" s="100"/>
      <c r="AA577" s="56"/>
      <c r="AB577" s="56"/>
      <c r="AC577" s="54"/>
    </row>
    <row r="578" spans="1:29" s="7" customFormat="1" outlineLevel="3" x14ac:dyDescent="0.25">
      <c r="A578" s="50" t="s">
        <v>5</v>
      </c>
      <c r="B578" s="50" t="s">
        <v>5</v>
      </c>
      <c r="C578" s="50" t="s">
        <v>5</v>
      </c>
      <c r="D578" s="50" t="s">
        <v>4</v>
      </c>
      <c r="E578" s="52" t="s">
        <v>1079</v>
      </c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8"/>
      <c r="U578" s="53" t="s">
        <v>928</v>
      </c>
      <c r="V578" s="54">
        <v>1</v>
      </c>
      <c r="W578" s="55" t="s">
        <v>1019</v>
      </c>
      <c r="X578" s="54" t="s">
        <v>64</v>
      </c>
      <c r="Y578" s="60" t="s">
        <v>65</v>
      </c>
      <c r="Z578" s="100"/>
      <c r="AA578" s="56">
        <v>4020</v>
      </c>
      <c r="AB578" s="56"/>
      <c r="AC578" s="54" t="s">
        <v>929</v>
      </c>
    </row>
    <row r="579" spans="1:29" s="7" customFormat="1" outlineLevel="3" x14ac:dyDescent="0.25">
      <c r="A579" s="50" t="s">
        <v>5</v>
      </c>
      <c r="B579" s="50" t="s">
        <v>5</v>
      </c>
      <c r="C579" s="50" t="s">
        <v>5</v>
      </c>
      <c r="D579" s="50" t="s">
        <v>4</v>
      </c>
      <c r="E579" s="52" t="s">
        <v>936</v>
      </c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8"/>
      <c r="U579" s="53">
        <v>50375033</v>
      </c>
      <c r="V579" s="54">
        <v>1</v>
      </c>
      <c r="W579" s="55" t="s">
        <v>1019</v>
      </c>
      <c r="X579" s="54" t="s">
        <v>930</v>
      </c>
      <c r="Y579" s="59" t="s">
        <v>937</v>
      </c>
      <c r="Z579" s="100"/>
      <c r="AA579" s="56">
        <v>3.33</v>
      </c>
      <c r="AB579" s="56"/>
      <c r="AC579" s="54"/>
    </row>
    <row r="580" spans="1:29" s="7" customFormat="1" outlineLevel="3" x14ac:dyDescent="0.25">
      <c r="A580" s="50" t="s">
        <v>5</v>
      </c>
      <c r="B580" s="50" t="s">
        <v>5</v>
      </c>
      <c r="C580" s="50" t="s">
        <v>5</v>
      </c>
      <c r="D580" s="50" t="s">
        <v>4</v>
      </c>
      <c r="E580" s="52" t="s">
        <v>1076</v>
      </c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8"/>
      <c r="U580" s="62" t="s">
        <v>1078</v>
      </c>
      <c r="V580" s="54">
        <v>3</v>
      </c>
      <c r="W580" s="55" t="s">
        <v>1019</v>
      </c>
      <c r="X580" s="54" t="s">
        <v>930</v>
      </c>
      <c r="Y580" s="61" t="s">
        <v>1077</v>
      </c>
      <c r="Z580" s="100"/>
      <c r="AA580" s="56"/>
      <c r="AB580" s="56"/>
      <c r="AC580" s="54"/>
    </row>
    <row r="581" spans="1:29" s="7" customFormat="1" outlineLevel="3" x14ac:dyDescent="0.25">
      <c r="A581" s="50" t="s">
        <v>5</v>
      </c>
      <c r="B581" s="50" t="s">
        <v>5</v>
      </c>
      <c r="C581" s="50" t="s">
        <v>5</v>
      </c>
      <c r="D581" s="50" t="s">
        <v>4</v>
      </c>
      <c r="E581" s="52" t="s">
        <v>1919</v>
      </c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8"/>
      <c r="U581" s="53"/>
      <c r="V581" s="54">
        <v>0.9</v>
      </c>
      <c r="W581" s="55" t="s">
        <v>1018</v>
      </c>
      <c r="X581" s="54"/>
      <c r="Y581" s="60"/>
      <c r="Z581" s="100"/>
      <c r="AA581" s="56"/>
      <c r="AB581" s="56"/>
      <c r="AC581" s="54"/>
    </row>
    <row r="582" spans="1:29" s="7" customFormat="1" outlineLevel="3" x14ac:dyDescent="0.25">
      <c r="A582" s="50" t="s">
        <v>5</v>
      </c>
      <c r="B582" s="50" t="s">
        <v>5</v>
      </c>
      <c r="C582" s="50" t="s">
        <v>5</v>
      </c>
      <c r="D582" s="50" t="s">
        <v>4</v>
      </c>
      <c r="E582" s="52" t="s">
        <v>1903</v>
      </c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8"/>
      <c r="U582" s="53"/>
      <c r="V582" s="54">
        <v>0.9</v>
      </c>
      <c r="W582" s="55" t="s">
        <v>1018</v>
      </c>
      <c r="X582" s="54"/>
      <c r="Y582" s="60"/>
      <c r="Z582" s="100"/>
      <c r="AA582" s="56"/>
      <c r="AB582" s="56"/>
      <c r="AC582" s="54"/>
    </row>
    <row r="583" spans="1:29" s="7" customFormat="1" outlineLevel="3" x14ac:dyDescent="0.25">
      <c r="A583" s="50" t="s">
        <v>5</v>
      </c>
      <c r="B583" s="50" t="s">
        <v>5</v>
      </c>
      <c r="C583" s="50" t="s">
        <v>5</v>
      </c>
      <c r="D583" s="50" t="s">
        <v>4</v>
      </c>
      <c r="E583" s="52" t="s">
        <v>1917</v>
      </c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8"/>
      <c r="U583" s="53"/>
      <c r="V583" s="54">
        <v>0.9</v>
      </c>
      <c r="W583" s="55" t="s">
        <v>1018</v>
      </c>
      <c r="X583" s="54"/>
      <c r="Y583" s="60"/>
      <c r="Z583" s="100"/>
      <c r="AA583" s="56"/>
      <c r="AB583" s="56"/>
      <c r="AC583" s="54"/>
    </row>
    <row r="584" spans="1:29" s="7" customFormat="1" outlineLevel="3" x14ac:dyDescent="0.25">
      <c r="A584" s="50" t="s">
        <v>5</v>
      </c>
      <c r="B584" s="50" t="s">
        <v>5</v>
      </c>
      <c r="C584" s="50" t="s">
        <v>5</v>
      </c>
      <c r="D584" s="50" t="s">
        <v>4</v>
      </c>
      <c r="E584" s="52" t="s">
        <v>1061</v>
      </c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8"/>
      <c r="U584" s="53"/>
      <c r="V584" s="54">
        <v>0.9</v>
      </c>
      <c r="W584" s="55" t="s">
        <v>1018</v>
      </c>
      <c r="X584" s="54"/>
      <c r="Y584" s="60"/>
      <c r="Z584" s="100"/>
      <c r="AA584" s="56"/>
      <c r="AB584" s="56"/>
      <c r="AC584" s="54"/>
    </row>
    <row r="585" spans="1:29" s="7" customFormat="1" outlineLevel="3" x14ac:dyDescent="0.25">
      <c r="A585" s="50" t="s">
        <v>5</v>
      </c>
      <c r="B585" s="50" t="s">
        <v>5</v>
      </c>
      <c r="C585" s="50" t="s">
        <v>5</v>
      </c>
      <c r="D585" s="50" t="s">
        <v>49</v>
      </c>
      <c r="E585" s="52" t="s">
        <v>1072</v>
      </c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8"/>
      <c r="U585" s="53"/>
      <c r="V585" s="54">
        <v>0.1</v>
      </c>
      <c r="W585" s="55" t="s">
        <v>1018</v>
      </c>
      <c r="X585" s="54"/>
      <c r="Y585" s="60"/>
      <c r="Z585" s="100"/>
      <c r="AA585" s="56"/>
      <c r="AB585" s="56"/>
      <c r="AC585" s="54"/>
    </row>
    <row r="586" spans="1:29" s="7" customFormat="1" outlineLevel="2" x14ac:dyDescent="0.25">
      <c r="A586" s="50" t="s">
        <v>5</v>
      </c>
      <c r="B586" s="50" t="s">
        <v>5</v>
      </c>
      <c r="C586" s="50" t="s">
        <v>49</v>
      </c>
      <c r="D586" s="51" t="s">
        <v>2523</v>
      </c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8"/>
      <c r="T586" s="58"/>
      <c r="U586" s="53" t="s">
        <v>2272</v>
      </c>
      <c r="V586" s="54">
        <v>1</v>
      </c>
      <c r="W586" s="55" t="s">
        <v>1019</v>
      </c>
      <c r="X586" s="54"/>
      <c r="Y586" s="54"/>
      <c r="Z586" s="100"/>
      <c r="AA586" s="56"/>
      <c r="AB586" s="56"/>
      <c r="AC586" s="54"/>
    </row>
    <row r="587" spans="1:29" s="7" customFormat="1" outlineLevel="3" x14ac:dyDescent="0.25">
      <c r="A587" s="50" t="s">
        <v>5</v>
      </c>
      <c r="B587" s="50" t="s">
        <v>5</v>
      </c>
      <c r="C587" s="50"/>
      <c r="D587" s="50" t="s">
        <v>4</v>
      </c>
      <c r="E587" s="52" t="s">
        <v>1080</v>
      </c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8"/>
      <c r="U587" s="53" t="s">
        <v>928</v>
      </c>
      <c r="V587" s="54">
        <v>0</v>
      </c>
      <c r="W587" s="55" t="s">
        <v>1019</v>
      </c>
      <c r="X587" s="54" t="s">
        <v>64</v>
      </c>
      <c r="Y587" s="60" t="s">
        <v>65</v>
      </c>
      <c r="Z587" s="100"/>
      <c r="AA587" s="56">
        <v>4020</v>
      </c>
      <c r="AB587" s="56"/>
      <c r="AC587" s="54" t="s">
        <v>929</v>
      </c>
    </row>
    <row r="588" spans="1:29" s="7" customFormat="1" outlineLevel="3" x14ac:dyDescent="0.25">
      <c r="A588" s="50" t="s">
        <v>5</v>
      </c>
      <c r="B588" s="50" t="s">
        <v>5</v>
      </c>
      <c r="C588" s="50"/>
      <c r="D588" s="50" t="s">
        <v>4</v>
      </c>
      <c r="E588" s="52" t="s">
        <v>932</v>
      </c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8"/>
      <c r="U588" s="53">
        <v>50375023</v>
      </c>
      <c r="V588" s="54">
        <v>1</v>
      </c>
      <c r="W588" s="55" t="s">
        <v>1019</v>
      </c>
      <c r="X588" s="54" t="s">
        <v>930</v>
      </c>
      <c r="Y588" s="59" t="s">
        <v>935</v>
      </c>
      <c r="Z588" s="100"/>
      <c r="AA588" s="56">
        <v>2.5</v>
      </c>
      <c r="AB588" s="56"/>
      <c r="AC588" s="54"/>
    </row>
    <row r="589" spans="1:29" s="7" customFormat="1" outlineLevel="3" x14ac:dyDescent="0.25">
      <c r="A589" s="50" t="s">
        <v>5</v>
      </c>
      <c r="B589" s="50" t="s">
        <v>5</v>
      </c>
      <c r="C589" s="50"/>
      <c r="D589" s="50" t="s">
        <v>4</v>
      </c>
      <c r="E589" s="52" t="s">
        <v>1076</v>
      </c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8"/>
      <c r="U589" s="62" t="s">
        <v>1078</v>
      </c>
      <c r="V589" s="54">
        <v>2</v>
      </c>
      <c r="W589" s="55" t="s">
        <v>1019</v>
      </c>
      <c r="X589" s="54" t="s">
        <v>930</v>
      </c>
      <c r="Y589" s="61" t="s">
        <v>1077</v>
      </c>
      <c r="Z589" s="100"/>
      <c r="AA589" s="56"/>
      <c r="AB589" s="56"/>
      <c r="AC589" s="54"/>
    </row>
    <row r="590" spans="1:29" s="7" customFormat="1" outlineLevel="3" x14ac:dyDescent="0.25">
      <c r="A590" s="50" t="s">
        <v>5</v>
      </c>
      <c r="B590" s="50" t="s">
        <v>5</v>
      </c>
      <c r="C590" s="50"/>
      <c r="D590" s="50" t="s">
        <v>4</v>
      </c>
      <c r="E590" s="52" t="s">
        <v>1919</v>
      </c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8"/>
      <c r="U590" s="53"/>
      <c r="V590" s="54">
        <v>0.45</v>
      </c>
      <c r="W590" s="55" t="s">
        <v>1018</v>
      </c>
      <c r="X590" s="54"/>
      <c r="Y590" s="60"/>
      <c r="Z590" s="100"/>
      <c r="AA590" s="56"/>
      <c r="AB590" s="56"/>
      <c r="AC590" s="54"/>
    </row>
    <row r="591" spans="1:29" s="7" customFormat="1" outlineLevel="3" x14ac:dyDescent="0.25">
      <c r="A591" s="50" t="s">
        <v>5</v>
      </c>
      <c r="B591" s="50" t="s">
        <v>5</v>
      </c>
      <c r="C591" s="50"/>
      <c r="D591" s="50" t="s">
        <v>4</v>
      </c>
      <c r="E591" s="52" t="s">
        <v>1917</v>
      </c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8"/>
      <c r="U591" s="53"/>
      <c r="V591" s="54">
        <v>0.45</v>
      </c>
      <c r="W591" s="55" t="s">
        <v>1018</v>
      </c>
      <c r="X591" s="54"/>
      <c r="Y591" s="60"/>
      <c r="Z591" s="100"/>
      <c r="AA591" s="56"/>
      <c r="AB591" s="56"/>
      <c r="AC591" s="54"/>
    </row>
    <row r="592" spans="1:29" s="7" customFormat="1" outlineLevel="3" x14ac:dyDescent="0.25">
      <c r="A592" s="50" t="s">
        <v>5</v>
      </c>
      <c r="B592" s="50" t="s">
        <v>5</v>
      </c>
      <c r="C592" s="50"/>
      <c r="D592" s="50" t="s">
        <v>4</v>
      </c>
      <c r="E592" s="52" t="s">
        <v>1072</v>
      </c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8"/>
      <c r="U592" s="53"/>
      <c r="V592" s="54">
        <v>0.1</v>
      </c>
      <c r="W592" s="55" t="s">
        <v>1018</v>
      </c>
      <c r="X592" s="54"/>
      <c r="Y592" s="60"/>
      <c r="Z592" s="100"/>
      <c r="AA592" s="56"/>
      <c r="AB592" s="56"/>
      <c r="AC592" s="54"/>
    </row>
    <row r="593" spans="1:30" s="7" customFormat="1" outlineLevel="3" x14ac:dyDescent="0.25">
      <c r="A593" s="50" t="s">
        <v>5</v>
      </c>
      <c r="B593" s="50" t="s">
        <v>5</v>
      </c>
      <c r="C593" s="50"/>
      <c r="D593" s="50" t="s">
        <v>49</v>
      </c>
      <c r="E593" s="52" t="s">
        <v>1065</v>
      </c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8"/>
      <c r="U593" s="53"/>
      <c r="V593" s="54">
        <v>0.4</v>
      </c>
      <c r="W593" s="55" t="s">
        <v>1018</v>
      </c>
      <c r="X593" s="54"/>
      <c r="Y593" s="60"/>
      <c r="Z593" s="100"/>
      <c r="AA593" s="56"/>
      <c r="AB593" s="56"/>
      <c r="AC593" s="54"/>
    </row>
    <row r="594" spans="1:30" s="13" customFormat="1" outlineLevel="1" x14ac:dyDescent="0.25">
      <c r="A594" s="2" t="s">
        <v>5</v>
      </c>
      <c r="B594" s="2" t="s">
        <v>4</v>
      </c>
      <c r="C594" s="41" t="s">
        <v>2166</v>
      </c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63" t="s">
        <v>2273</v>
      </c>
      <c r="V594" s="43">
        <v>1</v>
      </c>
      <c r="W594" s="49" t="s">
        <v>1019</v>
      </c>
      <c r="X594" s="43"/>
      <c r="Y594" s="43"/>
      <c r="Z594" s="99"/>
      <c r="AA594" s="44"/>
      <c r="AB594" s="44"/>
      <c r="AC594" s="43"/>
      <c r="AD594" s="7"/>
    </row>
    <row r="595" spans="1:30" s="13" customFormat="1" outlineLevel="1" x14ac:dyDescent="0.25">
      <c r="A595" s="1" t="s">
        <v>5</v>
      </c>
      <c r="B595" s="1" t="s">
        <v>4</v>
      </c>
      <c r="C595" s="5" t="s">
        <v>164</v>
      </c>
      <c r="U595" s="17" t="s">
        <v>2274</v>
      </c>
      <c r="V595" s="18">
        <v>1</v>
      </c>
      <c r="W595" s="47" t="s">
        <v>1019</v>
      </c>
      <c r="X595" s="18"/>
      <c r="Y595" s="18"/>
      <c r="Z595" s="98" t="s">
        <v>2009</v>
      </c>
      <c r="AA595" s="19"/>
      <c r="AB595" s="19"/>
      <c r="AC595" s="18"/>
      <c r="AD595" s="7"/>
    </row>
    <row r="596" spans="1:30" s="13" customFormat="1" outlineLevel="2" x14ac:dyDescent="0.25">
      <c r="A596" s="1" t="s">
        <v>5</v>
      </c>
      <c r="B596" s="1" t="s">
        <v>5</v>
      </c>
      <c r="C596" s="1" t="s">
        <v>4</v>
      </c>
      <c r="D596" s="13" t="s">
        <v>160</v>
      </c>
      <c r="T596" s="7"/>
      <c r="U596" s="17" t="s">
        <v>2275</v>
      </c>
      <c r="V596" s="18">
        <v>1</v>
      </c>
      <c r="W596" s="47" t="s">
        <v>1019</v>
      </c>
      <c r="X596" s="18"/>
      <c r="Y596" s="21"/>
      <c r="Z596" s="98"/>
      <c r="AA596" s="19"/>
      <c r="AB596" s="19"/>
      <c r="AC596" s="18"/>
      <c r="AD596" s="7"/>
    </row>
    <row r="597" spans="1:30" s="7" customFormat="1" outlineLevel="2" x14ac:dyDescent="0.25">
      <c r="A597" s="1" t="s">
        <v>5</v>
      </c>
      <c r="B597" s="1" t="s">
        <v>5</v>
      </c>
      <c r="C597" s="1" t="s">
        <v>49</v>
      </c>
      <c r="D597" s="5" t="s">
        <v>199</v>
      </c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7" t="s">
        <v>2274</v>
      </c>
      <c r="V597" s="18">
        <v>1</v>
      </c>
      <c r="W597" s="47" t="s">
        <v>1019</v>
      </c>
      <c r="X597" s="18"/>
      <c r="Y597" s="18"/>
      <c r="Z597" s="98"/>
      <c r="AA597" s="19"/>
      <c r="AB597" s="19"/>
      <c r="AC597" s="18"/>
    </row>
    <row r="598" spans="1:30" s="13" customFormat="1" outlineLevel="3" x14ac:dyDescent="0.25">
      <c r="A598" s="1" t="s">
        <v>5</v>
      </c>
      <c r="B598" s="1" t="s">
        <v>5</v>
      </c>
      <c r="C598" s="4"/>
      <c r="D598" s="1" t="s">
        <v>4</v>
      </c>
      <c r="E598" s="13" t="s">
        <v>10</v>
      </c>
      <c r="T598" s="7"/>
      <c r="U598" s="17" t="s">
        <v>11</v>
      </c>
      <c r="V598" s="18">
        <v>1</v>
      </c>
      <c r="W598" s="47" t="s">
        <v>1019</v>
      </c>
      <c r="X598" s="18" t="s">
        <v>8</v>
      </c>
      <c r="Y598" s="21" t="s">
        <v>12</v>
      </c>
      <c r="Z598" s="98"/>
      <c r="AA598" s="19">
        <v>240.54</v>
      </c>
      <c r="AB598" s="19"/>
      <c r="AC598" s="18"/>
      <c r="AD598" s="7"/>
    </row>
    <row r="599" spans="1:30" s="7" customFormat="1" outlineLevel="3" x14ac:dyDescent="0.25">
      <c r="A599" s="1" t="s">
        <v>5</v>
      </c>
      <c r="B599" s="1" t="s">
        <v>5</v>
      </c>
      <c r="C599" s="4"/>
      <c r="D599" s="1" t="s">
        <v>4</v>
      </c>
      <c r="E599" s="13" t="s">
        <v>158</v>
      </c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U599" s="17" t="s">
        <v>162</v>
      </c>
      <c r="V599" s="18">
        <v>1</v>
      </c>
      <c r="W599" s="47" t="s">
        <v>1019</v>
      </c>
      <c r="X599" s="18" t="s">
        <v>209</v>
      </c>
      <c r="Y599" s="22" t="s">
        <v>161</v>
      </c>
      <c r="Z599" s="98"/>
      <c r="AA599" s="19">
        <v>4497</v>
      </c>
      <c r="AB599" s="19"/>
      <c r="AC599" s="18"/>
    </row>
    <row r="600" spans="1:30" s="7" customFormat="1" outlineLevel="4" x14ac:dyDescent="0.25">
      <c r="A600" s="1" t="s">
        <v>5</v>
      </c>
      <c r="B600" s="1" t="s">
        <v>5</v>
      </c>
      <c r="D600" s="1" t="s">
        <v>49</v>
      </c>
      <c r="E600" s="13" t="s">
        <v>1065</v>
      </c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7"/>
      <c r="V600" s="18">
        <v>0.05</v>
      </c>
      <c r="W600" s="47" t="s">
        <v>1018</v>
      </c>
      <c r="X600" s="18"/>
      <c r="Y600" s="22"/>
      <c r="Z600" s="98"/>
      <c r="AA600" s="19">
        <f>AA89</f>
        <v>0</v>
      </c>
      <c r="AB600" s="19"/>
      <c r="AC600" s="18"/>
    </row>
    <row r="601" spans="1:30" s="7" customFormat="1" outlineLevel="1" x14ac:dyDescent="0.25">
      <c r="A601" s="1" t="s">
        <v>5</v>
      </c>
      <c r="B601" s="1" t="s">
        <v>4</v>
      </c>
      <c r="C601" s="5" t="s">
        <v>198</v>
      </c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7" t="s">
        <v>2276</v>
      </c>
      <c r="V601" s="18">
        <v>1</v>
      </c>
      <c r="W601" s="47" t="s">
        <v>1019</v>
      </c>
      <c r="X601" s="18"/>
      <c r="Y601" s="21"/>
      <c r="Z601" s="98"/>
      <c r="AA601" s="19"/>
      <c r="AB601" s="19"/>
      <c r="AC601" s="18"/>
    </row>
    <row r="602" spans="1:30" s="13" customFormat="1" outlineLevel="2" x14ac:dyDescent="0.25">
      <c r="A602" s="1" t="s">
        <v>5</v>
      </c>
      <c r="B602" s="1" t="s">
        <v>5</v>
      </c>
      <c r="C602" s="1" t="s">
        <v>4</v>
      </c>
      <c r="D602" s="5" t="s">
        <v>207</v>
      </c>
      <c r="U602" s="17"/>
      <c r="V602" s="18"/>
      <c r="W602" s="47" t="s">
        <v>1019</v>
      </c>
      <c r="X602" s="18"/>
      <c r="Y602" s="21"/>
      <c r="Z602" s="98"/>
      <c r="AA602" s="19"/>
      <c r="AB602" s="19"/>
      <c r="AC602" s="18"/>
      <c r="AD602" s="7"/>
    </row>
    <row r="603" spans="1:30" s="13" customFormat="1" outlineLevel="3" x14ac:dyDescent="0.25">
      <c r="A603" s="1" t="s">
        <v>5</v>
      </c>
      <c r="B603" s="1" t="s">
        <v>5</v>
      </c>
      <c r="C603" s="1" t="s">
        <v>5</v>
      </c>
      <c r="D603" s="1" t="s">
        <v>4</v>
      </c>
      <c r="E603" s="13" t="s">
        <v>211</v>
      </c>
      <c r="U603" s="17" t="s">
        <v>2524</v>
      </c>
      <c r="V603" s="18">
        <v>1</v>
      </c>
      <c r="W603" s="47" t="s">
        <v>1019</v>
      </c>
      <c r="X603" s="18" t="s">
        <v>175</v>
      </c>
      <c r="Y603" s="21"/>
      <c r="Z603" s="98"/>
      <c r="AA603" s="19"/>
      <c r="AB603" s="19"/>
      <c r="AC603" s="18"/>
      <c r="AD603" s="7"/>
    </row>
    <row r="604" spans="1:30" s="13" customFormat="1" outlineLevel="3" x14ac:dyDescent="0.25">
      <c r="A604" s="1" t="s">
        <v>5</v>
      </c>
      <c r="B604" s="1" t="s">
        <v>5</v>
      </c>
      <c r="C604" s="1" t="s">
        <v>5</v>
      </c>
      <c r="D604" s="1" t="s">
        <v>4</v>
      </c>
      <c r="E604" s="13" t="s">
        <v>211</v>
      </c>
      <c r="U604" s="17" t="s">
        <v>2525</v>
      </c>
      <c r="V604" s="18">
        <v>1</v>
      </c>
      <c r="W604" s="47" t="s">
        <v>1019</v>
      </c>
      <c r="X604" s="18" t="s">
        <v>175</v>
      </c>
      <c r="Y604" s="21"/>
      <c r="Z604" s="98"/>
      <c r="AA604" s="19"/>
      <c r="AB604" s="19"/>
      <c r="AC604" s="18"/>
      <c r="AD604" s="7"/>
    </row>
    <row r="605" spans="1:30" s="13" customFormat="1" outlineLevel="3" x14ac:dyDescent="0.25">
      <c r="A605" s="1" t="s">
        <v>5</v>
      </c>
      <c r="B605" s="1" t="s">
        <v>5</v>
      </c>
      <c r="C605" s="1" t="s">
        <v>5</v>
      </c>
      <c r="D605" s="1" t="s">
        <v>4</v>
      </c>
      <c r="E605" s="13" t="s">
        <v>212</v>
      </c>
      <c r="U605" s="17" t="s">
        <v>2526</v>
      </c>
      <c r="V605" s="18">
        <v>1</v>
      </c>
      <c r="W605" s="47" t="s">
        <v>1019</v>
      </c>
      <c r="X605" s="18" t="s">
        <v>175</v>
      </c>
      <c r="Y605" s="21"/>
      <c r="Z605" s="98"/>
      <c r="AA605" s="19"/>
      <c r="AB605" s="19"/>
      <c r="AC605" s="18"/>
      <c r="AD605" s="7"/>
    </row>
    <row r="606" spans="1:30" s="13" customFormat="1" outlineLevel="3" x14ac:dyDescent="0.25">
      <c r="A606" s="1" t="s">
        <v>5</v>
      </c>
      <c r="B606" s="1" t="s">
        <v>5</v>
      </c>
      <c r="C606" s="1" t="s">
        <v>5</v>
      </c>
      <c r="D606" s="1" t="s">
        <v>49</v>
      </c>
      <c r="E606" s="5" t="s">
        <v>210</v>
      </c>
      <c r="U606" s="17"/>
      <c r="V606" s="18"/>
      <c r="W606" s="47" t="s">
        <v>1019</v>
      </c>
      <c r="X606" s="18"/>
      <c r="Y606" s="21"/>
      <c r="Z606" s="98"/>
      <c r="AA606" s="19"/>
      <c r="AB606" s="19"/>
      <c r="AC606" s="18"/>
      <c r="AD606" s="7"/>
    </row>
    <row r="607" spans="1:30" s="13" customFormat="1" outlineLevel="4" x14ac:dyDescent="0.25">
      <c r="A607" s="1" t="s">
        <v>5</v>
      </c>
      <c r="B607" s="1" t="s">
        <v>5</v>
      </c>
      <c r="C607" s="1" t="s">
        <v>5</v>
      </c>
      <c r="D607" s="4"/>
      <c r="E607" s="1" t="s">
        <v>4</v>
      </c>
      <c r="F607" s="13" t="s">
        <v>1783</v>
      </c>
      <c r="U607" s="17" t="s">
        <v>1784</v>
      </c>
      <c r="V607" s="18">
        <v>2</v>
      </c>
      <c r="W607" s="47" t="s">
        <v>1019</v>
      </c>
      <c r="X607" s="18"/>
      <c r="Y607" s="21"/>
      <c r="Z607" s="98"/>
      <c r="AA607" s="19"/>
      <c r="AB607" s="19"/>
      <c r="AC607" s="18"/>
      <c r="AD607" s="7"/>
    </row>
    <row r="608" spans="1:30" s="13" customFormat="1" outlineLevel="4" x14ac:dyDescent="0.25">
      <c r="A608" s="1" t="s">
        <v>5</v>
      </c>
      <c r="B608" s="1" t="s">
        <v>5</v>
      </c>
      <c r="C608" s="1" t="s">
        <v>5</v>
      </c>
      <c r="D608" s="4"/>
      <c r="E608" s="1" t="s">
        <v>4</v>
      </c>
      <c r="F608" s="13" t="s">
        <v>1809</v>
      </c>
      <c r="U608" s="17" t="s">
        <v>216</v>
      </c>
      <c r="V608" s="18">
        <v>4</v>
      </c>
      <c r="W608" s="47" t="s">
        <v>1019</v>
      </c>
      <c r="X608" s="18"/>
      <c r="Y608" s="21"/>
      <c r="Z608" s="98"/>
      <c r="AA608" s="19"/>
      <c r="AB608" s="19"/>
      <c r="AC608" s="18"/>
      <c r="AD608" s="7"/>
    </row>
    <row r="609" spans="1:30" s="13" customFormat="1" outlineLevel="4" x14ac:dyDescent="0.25">
      <c r="A609" s="1" t="s">
        <v>5</v>
      </c>
      <c r="B609" s="1" t="s">
        <v>5</v>
      </c>
      <c r="C609" s="1" t="s">
        <v>5</v>
      </c>
      <c r="D609" s="4"/>
      <c r="E609" s="1" t="s">
        <v>4</v>
      </c>
      <c r="F609" s="13" t="s">
        <v>1810</v>
      </c>
      <c r="U609" s="17" t="s">
        <v>217</v>
      </c>
      <c r="V609" s="18">
        <v>2</v>
      </c>
      <c r="W609" s="47" t="s">
        <v>1019</v>
      </c>
      <c r="X609" s="18"/>
      <c r="Y609" s="21"/>
      <c r="Z609" s="98"/>
      <c r="AA609" s="19"/>
      <c r="AB609" s="19"/>
      <c r="AC609" s="18"/>
      <c r="AD609" s="7"/>
    </row>
    <row r="610" spans="1:30" s="13" customFormat="1" outlineLevel="4" x14ac:dyDescent="0.25">
      <c r="A610" s="1" t="s">
        <v>5</v>
      </c>
      <c r="B610" s="1" t="s">
        <v>5</v>
      </c>
      <c r="C610" s="1" t="s">
        <v>5</v>
      </c>
      <c r="D610" s="4"/>
      <c r="E610" s="1" t="s">
        <v>4</v>
      </c>
      <c r="F610" s="13" t="s">
        <v>213</v>
      </c>
      <c r="U610" s="17" t="s">
        <v>218</v>
      </c>
      <c r="V610" s="18">
        <v>4</v>
      </c>
      <c r="W610" s="47" t="s">
        <v>1019</v>
      </c>
      <c r="X610" s="18"/>
      <c r="Y610" s="21"/>
      <c r="Z610" s="98"/>
      <c r="AA610" s="19"/>
      <c r="AB610" s="19"/>
      <c r="AC610" s="18"/>
      <c r="AD610" s="7"/>
    </row>
    <row r="611" spans="1:30" s="13" customFormat="1" outlineLevel="4" x14ac:dyDescent="0.25">
      <c r="A611" s="1" t="s">
        <v>5</v>
      </c>
      <c r="B611" s="1" t="s">
        <v>5</v>
      </c>
      <c r="C611" s="1" t="s">
        <v>5</v>
      </c>
      <c r="D611" s="4"/>
      <c r="E611" s="1" t="s">
        <v>4</v>
      </c>
      <c r="F611" s="13" t="s">
        <v>214</v>
      </c>
      <c r="U611" s="17" t="s">
        <v>219</v>
      </c>
      <c r="V611" s="18">
        <v>4</v>
      </c>
      <c r="W611" s="47" t="s">
        <v>1019</v>
      </c>
      <c r="X611" s="18"/>
      <c r="Y611" s="21"/>
      <c r="Z611" s="98"/>
      <c r="AA611" s="19"/>
      <c r="AB611" s="19"/>
      <c r="AC611" s="18"/>
      <c r="AD611" s="7"/>
    </row>
    <row r="612" spans="1:30" s="13" customFormat="1" outlineLevel="4" x14ac:dyDescent="0.25">
      <c r="A612" s="1" t="s">
        <v>5</v>
      </c>
      <c r="B612" s="1" t="s">
        <v>5</v>
      </c>
      <c r="C612" s="1" t="s">
        <v>5</v>
      </c>
      <c r="D612" s="4"/>
      <c r="E612" s="1" t="s">
        <v>49</v>
      </c>
      <c r="F612" s="13" t="s">
        <v>215</v>
      </c>
      <c r="U612" s="17" t="s">
        <v>220</v>
      </c>
      <c r="V612" s="18">
        <v>4</v>
      </c>
      <c r="W612" s="47" t="s">
        <v>1019</v>
      </c>
      <c r="X612" s="18"/>
      <c r="Y612" s="21"/>
      <c r="Z612" s="98"/>
      <c r="AA612" s="19"/>
      <c r="AB612" s="19"/>
      <c r="AC612" s="18"/>
      <c r="AD612" s="7"/>
    </row>
    <row r="613" spans="1:30" s="13" customFormat="1" outlineLevel="2" x14ac:dyDescent="0.25">
      <c r="A613" s="1" t="s">
        <v>5</v>
      </c>
      <c r="B613" s="1" t="s">
        <v>5</v>
      </c>
      <c r="C613" s="1" t="s">
        <v>4</v>
      </c>
      <c r="D613" s="13" t="s">
        <v>206</v>
      </c>
      <c r="U613" s="17" t="s">
        <v>2277</v>
      </c>
      <c r="V613" s="18">
        <v>1</v>
      </c>
      <c r="W613" s="47" t="s">
        <v>1019</v>
      </c>
      <c r="X613" s="18"/>
      <c r="Y613" s="21"/>
      <c r="Z613" s="98"/>
      <c r="AA613" s="19"/>
      <c r="AB613" s="19"/>
      <c r="AC613" s="18"/>
      <c r="AD613" s="7"/>
    </row>
    <row r="614" spans="1:30" s="13" customFormat="1" outlineLevel="2" x14ac:dyDescent="0.25">
      <c r="A614" s="1" t="s">
        <v>5</v>
      </c>
      <c r="B614" s="1" t="s">
        <v>5</v>
      </c>
      <c r="C614" s="1" t="s">
        <v>4</v>
      </c>
      <c r="D614" s="13" t="s">
        <v>111</v>
      </c>
      <c r="T614" s="7"/>
      <c r="U614" s="17" t="s">
        <v>112</v>
      </c>
      <c r="V614" s="18">
        <v>1</v>
      </c>
      <c r="W614" s="47" t="s">
        <v>1019</v>
      </c>
      <c r="X614" s="18" t="s">
        <v>113</v>
      </c>
      <c r="Y614" s="21" t="s">
        <v>114</v>
      </c>
      <c r="Z614" s="98"/>
      <c r="AA614" s="19">
        <v>248.75</v>
      </c>
      <c r="AB614" s="19"/>
      <c r="AC614" s="18"/>
      <c r="AD614" s="7"/>
    </row>
    <row r="615" spans="1:30" s="7" customFormat="1" outlineLevel="2" x14ac:dyDescent="0.25">
      <c r="A615" s="1" t="s">
        <v>5</v>
      </c>
      <c r="B615" s="1" t="s">
        <v>5</v>
      </c>
      <c r="C615" s="1" t="s">
        <v>4</v>
      </c>
      <c r="D615" s="13" t="s">
        <v>115</v>
      </c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U615" s="17" t="s">
        <v>116</v>
      </c>
      <c r="V615" s="18">
        <v>1</v>
      </c>
      <c r="W615" s="47" t="s">
        <v>1019</v>
      </c>
      <c r="X615" s="18" t="s">
        <v>113</v>
      </c>
      <c r="Y615" s="21" t="s">
        <v>117</v>
      </c>
      <c r="Z615" s="98"/>
      <c r="AA615" s="19">
        <v>41.52</v>
      </c>
      <c r="AB615" s="19"/>
      <c r="AC615" s="18"/>
    </row>
    <row r="616" spans="1:30" s="7" customFormat="1" outlineLevel="2" x14ac:dyDescent="0.25">
      <c r="A616" s="1" t="s">
        <v>5</v>
      </c>
      <c r="B616" s="1" t="s">
        <v>5</v>
      </c>
      <c r="C616" s="1" t="s">
        <v>4</v>
      </c>
      <c r="D616" s="13" t="s">
        <v>118</v>
      </c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U616" s="17" t="s">
        <v>119</v>
      </c>
      <c r="V616" s="18">
        <v>1</v>
      </c>
      <c r="W616" s="47" t="s">
        <v>1019</v>
      </c>
      <c r="X616" s="18" t="s">
        <v>120</v>
      </c>
      <c r="Y616" s="21" t="s">
        <v>121</v>
      </c>
      <c r="Z616" s="98"/>
      <c r="AA616" s="19">
        <v>76.2</v>
      </c>
      <c r="AB616" s="19"/>
      <c r="AC616" s="18"/>
    </row>
    <row r="617" spans="1:30" s="7" customFormat="1" outlineLevel="2" x14ac:dyDescent="0.25">
      <c r="A617" s="1" t="s">
        <v>5</v>
      </c>
      <c r="B617" s="1" t="s">
        <v>5</v>
      </c>
      <c r="C617" s="1" t="s">
        <v>49</v>
      </c>
      <c r="D617" s="5" t="s">
        <v>208</v>
      </c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U617" s="17" t="s">
        <v>2278</v>
      </c>
      <c r="V617" s="18">
        <v>1</v>
      </c>
      <c r="W617" s="47" t="s">
        <v>1019</v>
      </c>
      <c r="X617" s="18" t="s">
        <v>175</v>
      </c>
      <c r="Y617" s="21"/>
      <c r="Z617" s="98"/>
      <c r="AA617" s="19"/>
      <c r="AB617" s="19"/>
      <c r="AC617" s="18"/>
    </row>
    <row r="618" spans="1:30" s="7" customFormat="1" outlineLevel="3" x14ac:dyDescent="0.25">
      <c r="A618" s="1" t="s">
        <v>5</v>
      </c>
      <c r="B618" s="1" t="s">
        <v>5</v>
      </c>
      <c r="C618" s="13"/>
      <c r="D618" s="1" t="s">
        <v>4</v>
      </c>
      <c r="E618" s="13" t="s">
        <v>1931</v>
      </c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U618" s="17" t="s">
        <v>109</v>
      </c>
      <c r="V618" s="18">
        <v>1</v>
      </c>
      <c r="W618" s="47" t="s">
        <v>1019</v>
      </c>
      <c r="X618" s="18" t="s">
        <v>8</v>
      </c>
      <c r="Y618" s="21" t="s">
        <v>110</v>
      </c>
      <c r="Z618" s="98"/>
      <c r="AA618" s="19">
        <v>282</v>
      </c>
      <c r="AB618" s="19"/>
      <c r="AC618" s="18"/>
    </row>
    <row r="619" spans="1:30" s="7" customFormat="1" outlineLevel="3" x14ac:dyDescent="0.25">
      <c r="A619" s="2" t="s">
        <v>5</v>
      </c>
      <c r="B619" s="2" t="s">
        <v>5</v>
      </c>
      <c r="C619" s="42"/>
      <c r="D619" s="2" t="s">
        <v>4</v>
      </c>
      <c r="E619" s="42" t="s">
        <v>204</v>
      </c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57"/>
      <c r="U619" s="63" t="s">
        <v>203</v>
      </c>
      <c r="V619" s="43">
        <v>1</v>
      </c>
      <c r="W619" s="49" t="s">
        <v>1019</v>
      </c>
      <c r="X619" s="43"/>
      <c r="Y619" s="65" t="s">
        <v>202</v>
      </c>
      <c r="Z619" s="99"/>
      <c r="AA619" s="44">
        <v>48</v>
      </c>
      <c r="AB619" s="44"/>
      <c r="AC619" s="43"/>
    </row>
    <row r="620" spans="1:30" s="7" customFormat="1" outlineLevel="3" x14ac:dyDescent="0.25">
      <c r="A620" s="1" t="s">
        <v>5</v>
      </c>
      <c r="B620" s="1" t="s">
        <v>5</v>
      </c>
      <c r="C620" s="13"/>
      <c r="D620" s="1" t="s">
        <v>4</v>
      </c>
      <c r="E620" s="13" t="s">
        <v>38</v>
      </c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U620" s="17" t="s">
        <v>205</v>
      </c>
      <c r="V620" s="18">
        <v>4</v>
      </c>
      <c r="W620" s="47" t="s">
        <v>1019</v>
      </c>
      <c r="X620" s="18"/>
      <c r="Y620" s="23"/>
      <c r="Z620" s="98"/>
      <c r="AA620" s="19"/>
      <c r="AB620" s="19"/>
      <c r="AC620" s="18"/>
    </row>
    <row r="621" spans="1:30" s="7" customFormat="1" outlineLevel="3" x14ac:dyDescent="0.25">
      <c r="A621" s="1" t="s">
        <v>5</v>
      </c>
      <c r="B621" s="1" t="s">
        <v>5</v>
      </c>
      <c r="C621" s="13"/>
      <c r="D621" s="1" t="s">
        <v>4</v>
      </c>
      <c r="E621" s="13" t="s">
        <v>122</v>
      </c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U621" s="17">
        <v>70002634</v>
      </c>
      <c r="V621" s="18">
        <v>1</v>
      </c>
      <c r="W621" s="47" t="s">
        <v>1019</v>
      </c>
      <c r="X621" s="18" t="s">
        <v>123</v>
      </c>
      <c r="Y621" s="21" t="s">
        <v>124</v>
      </c>
      <c r="Z621" s="98"/>
      <c r="AA621" s="19">
        <v>2664.62</v>
      </c>
      <c r="AB621" s="19"/>
      <c r="AC621" s="18"/>
    </row>
    <row r="622" spans="1:30" s="7" customFormat="1" outlineLevel="3" x14ac:dyDescent="0.25">
      <c r="A622" s="50" t="s">
        <v>5</v>
      </c>
      <c r="B622" s="50" t="s">
        <v>5</v>
      </c>
      <c r="C622" s="52"/>
      <c r="D622" s="50" t="s">
        <v>49</v>
      </c>
      <c r="E622" s="52" t="s">
        <v>1065</v>
      </c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8"/>
      <c r="U622" s="53"/>
      <c r="V622" s="54">
        <v>0.08</v>
      </c>
      <c r="W622" s="55" t="s">
        <v>1018</v>
      </c>
      <c r="X622" s="54"/>
      <c r="Y622" s="60"/>
      <c r="Z622" s="100"/>
      <c r="AA622" s="56">
        <f>AA600</f>
        <v>0</v>
      </c>
      <c r="AB622" s="56"/>
      <c r="AC622" s="54"/>
    </row>
    <row r="623" spans="1:30" s="7" customFormat="1" outlineLevel="1" x14ac:dyDescent="0.25">
      <c r="A623" s="1" t="s">
        <v>5</v>
      </c>
      <c r="B623" s="1" t="s">
        <v>4</v>
      </c>
      <c r="C623" s="5" t="s">
        <v>1047</v>
      </c>
      <c r="D623" s="4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U623" s="17" t="s">
        <v>2279</v>
      </c>
      <c r="V623" s="18">
        <v>1</v>
      </c>
      <c r="W623" s="47" t="s">
        <v>1019</v>
      </c>
      <c r="X623" s="18"/>
      <c r="Y623" s="18"/>
      <c r="Z623" s="98" t="s">
        <v>2008</v>
      </c>
      <c r="AA623" s="19"/>
      <c r="AB623" s="110">
        <f>AB624+AB703+AB707+AB711+AB712+AB719+SUM(AB722:AB762)</f>
        <v>27324.326000000001</v>
      </c>
      <c r="AC623" s="18"/>
    </row>
    <row r="624" spans="1:30" s="7" customFormat="1" outlineLevel="2" x14ac:dyDescent="0.25">
      <c r="A624" s="1" t="s">
        <v>5</v>
      </c>
      <c r="B624" s="1" t="s">
        <v>5</v>
      </c>
      <c r="C624" s="1" t="s">
        <v>4</v>
      </c>
      <c r="D624" s="5" t="s">
        <v>1013</v>
      </c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U624" s="17" t="s">
        <v>2280</v>
      </c>
      <c r="V624" s="18">
        <v>1</v>
      </c>
      <c r="W624" s="47" t="s">
        <v>1019</v>
      </c>
      <c r="X624" s="17"/>
      <c r="Y624" s="18"/>
      <c r="Z624" s="98"/>
      <c r="AA624" s="19"/>
      <c r="AB624" s="19">
        <f>SUM(AB625:AB702)</f>
        <v>8156.5100000000011</v>
      </c>
      <c r="AC624" s="109"/>
    </row>
    <row r="625" spans="1:30" s="7" customFormat="1" outlineLevel="3" x14ac:dyDescent="0.25">
      <c r="A625" s="1" t="s">
        <v>5</v>
      </c>
      <c r="B625" s="1" t="s">
        <v>5</v>
      </c>
      <c r="C625" s="1" t="s">
        <v>5</v>
      </c>
      <c r="D625" s="1" t="s">
        <v>4</v>
      </c>
      <c r="E625" s="13" t="s">
        <v>544</v>
      </c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U625" s="17" t="s">
        <v>2281</v>
      </c>
      <c r="V625" s="18">
        <v>1</v>
      </c>
      <c r="W625" s="47" t="s">
        <v>1019</v>
      </c>
      <c r="X625" s="18"/>
      <c r="Y625" s="21"/>
      <c r="Z625" s="98"/>
      <c r="AA625" s="19">
        <v>3000</v>
      </c>
      <c r="AB625" s="19">
        <f>AA625*V625</f>
        <v>3000</v>
      </c>
      <c r="AC625" s="18"/>
    </row>
    <row r="626" spans="1:30" s="7" customFormat="1" outlineLevel="3" x14ac:dyDescent="0.25">
      <c r="A626" s="1" t="s">
        <v>5</v>
      </c>
      <c r="B626" s="1" t="s">
        <v>5</v>
      </c>
      <c r="C626" s="1" t="s">
        <v>5</v>
      </c>
      <c r="D626" s="1" t="s">
        <v>4</v>
      </c>
      <c r="E626" s="26" t="s">
        <v>378</v>
      </c>
      <c r="F626" s="13"/>
      <c r="G626" s="13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17" t="s">
        <v>455</v>
      </c>
      <c r="V626" s="18">
        <v>2</v>
      </c>
      <c r="W626" s="47" t="s">
        <v>1019</v>
      </c>
      <c r="X626" s="18"/>
      <c r="Y626" s="21"/>
      <c r="Z626" s="98"/>
      <c r="AA626" s="108">
        <v>0.28000000000000003</v>
      </c>
      <c r="AB626" s="19">
        <f t="shared" ref="AB626:AB689" si="0">AA626*V626</f>
        <v>0.56000000000000005</v>
      </c>
      <c r="AC626" s="18"/>
    </row>
    <row r="627" spans="1:30" s="27" customFormat="1" outlineLevel="3" x14ac:dyDescent="0.25">
      <c r="A627" s="1" t="s">
        <v>5</v>
      </c>
      <c r="B627" s="1" t="s">
        <v>5</v>
      </c>
      <c r="C627" s="1" t="s">
        <v>5</v>
      </c>
      <c r="D627" s="1" t="s">
        <v>4</v>
      </c>
      <c r="E627" s="26" t="s">
        <v>379</v>
      </c>
      <c r="F627" s="13"/>
      <c r="G627" s="13"/>
      <c r="U627" s="17" t="s">
        <v>456</v>
      </c>
      <c r="V627" s="18">
        <v>2</v>
      </c>
      <c r="W627" s="47" t="s">
        <v>1019</v>
      </c>
      <c r="X627" s="18"/>
      <c r="Y627" s="21"/>
      <c r="Z627" s="98"/>
      <c r="AA627" s="108">
        <v>0.77</v>
      </c>
      <c r="AB627" s="19">
        <f t="shared" si="0"/>
        <v>1.54</v>
      </c>
      <c r="AC627" s="18"/>
      <c r="AD627" s="7"/>
    </row>
    <row r="628" spans="1:30" s="27" customFormat="1" outlineLevel="3" x14ac:dyDescent="0.25">
      <c r="A628" s="1" t="s">
        <v>5</v>
      </c>
      <c r="B628" s="1" t="s">
        <v>5</v>
      </c>
      <c r="C628" s="1" t="s">
        <v>5</v>
      </c>
      <c r="D628" s="1" t="s">
        <v>4</v>
      </c>
      <c r="E628" s="26" t="s">
        <v>380</v>
      </c>
      <c r="F628" s="13"/>
      <c r="G628" s="13"/>
      <c r="U628" s="17" t="s">
        <v>457</v>
      </c>
      <c r="V628" s="18">
        <v>6</v>
      </c>
      <c r="W628" s="47" t="s">
        <v>1019</v>
      </c>
      <c r="X628" s="18"/>
      <c r="Y628" s="21"/>
      <c r="Z628" s="98"/>
      <c r="AA628" s="108">
        <v>2.91</v>
      </c>
      <c r="AB628" s="19">
        <f t="shared" si="0"/>
        <v>17.46</v>
      </c>
      <c r="AC628" s="18"/>
      <c r="AD628" s="7"/>
    </row>
    <row r="629" spans="1:30" s="27" customFormat="1" outlineLevel="3" x14ac:dyDescent="0.25">
      <c r="A629" s="1" t="s">
        <v>5</v>
      </c>
      <c r="B629" s="1" t="s">
        <v>5</v>
      </c>
      <c r="C629" s="1" t="s">
        <v>5</v>
      </c>
      <c r="D629" s="1" t="s">
        <v>4</v>
      </c>
      <c r="E629" s="26" t="s">
        <v>381</v>
      </c>
      <c r="F629" s="13"/>
      <c r="G629" s="13"/>
      <c r="U629" s="17" t="s">
        <v>458</v>
      </c>
      <c r="V629" s="18">
        <v>31</v>
      </c>
      <c r="W629" s="47" t="s">
        <v>1019</v>
      </c>
      <c r="X629" s="18"/>
      <c r="Y629" s="21"/>
      <c r="Z629" s="98"/>
      <c r="AA629" s="108">
        <v>4.47</v>
      </c>
      <c r="AB629" s="19">
        <f t="shared" si="0"/>
        <v>138.57</v>
      </c>
      <c r="AC629" s="18"/>
      <c r="AD629" s="7"/>
    </row>
    <row r="630" spans="1:30" s="27" customFormat="1" outlineLevel="3" x14ac:dyDescent="0.25">
      <c r="A630" s="1" t="s">
        <v>5</v>
      </c>
      <c r="B630" s="1" t="s">
        <v>5</v>
      </c>
      <c r="C630" s="1" t="s">
        <v>5</v>
      </c>
      <c r="D630" s="1" t="s">
        <v>4</v>
      </c>
      <c r="E630" s="26" t="s">
        <v>382</v>
      </c>
      <c r="F630" s="13"/>
      <c r="G630" s="13"/>
      <c r="U630" s="17" t="s">
        <v>459</v>
      </c>
      <c r="V630" s="18">
        <v>10</v>
      </c>
      <c r="W630" s="47" t="s">
        <v>1019</v>
      </c>
      <c r="X630" s="18"/>
      <c r="Y630" s="21"/>
      <c r="Z630" s="98"/>
      <c r="AA630" s="108">
        <v>17.5</v>
      </c>
      <c r="AB630" s="19">
        <f t="shared" si="0"/>
        <v>175</v>
      </c>
      <c r="AC630" s="18"/>
      <c r="AD630" s="7"/>
    </row>
    <row r="631" spans="1:30" s="27" customFormat="1" outlineLevel="3" x14ac:dyDescent="0.25">
      <c r="A631" s="1" t="s">
        <v>5</v>
      </c>
      <c r="B631" s="1" t="s">
        <v>5</v>
      </c>
      <c r="C631" s="1" t="s">
        <v>5</v>
      </c>
      <c r="D631" s="1" t="s">
        <v>4</v>
      </c>
      <c r="E631" s="26" t="s">
        <v>383</v>
      </c>
      <c r="F631" s="13"/>
      <c r="G631" s="13"/>
      <c r="U631" s="17" t="s">
        <v>460</v>
      </c>
      <c r="V631" s="18">
        <v>2</v>
      </c>
      <c r="W631" s="47" t="s">
        <v>1019</v>
      </c>
      <c r="X631" s="18"/>
      <c r="Y631" s="21"/>
      <c r="Z631" s="98"/>
      <c r="AA631" s="108">
        <v>53</v>
      </c>
      <c r="AB631" s="19">
        <f t="shared" si="0"/>
        <v>106</v>
      </c>
      <c r="AC631" s="18"/>
      <c r="AD631" s="7"/>
    </row>
    <row r="632" spans="1:30" s="27" customFormat="1" outlineLevel="3" x14ac:dyDescent="0.25">
      <c r="A632" s="1" t="s">
        <v>5</v>
      </c>
      <c r="B632" s="1" t="s">
        <v>5</v>
      </c>
      <c r="C632" s="1" t="s">
        <v>5</v>
      </c>
      <c r="D632" s="1" t="s">
        <v>4</v>
      </c>
      <c r="E632" s="26" t="s">
        <v>384</v>
      </c>
      <c r="F632" s="13"/>
      <c r="G632" s="13"/>
      <c r="U632" s="17" t="s">
        <v>461</v>
      </c>
      <c r="V632" s="18">
        <v>5</v>
      </c>
      <c r="W632" s="47" t="s">
        <v>1019</v>
      </c>
      <c r="X632" s="18"/>
      <c r="Y632" s="21"/>
      <c r="Z632" s="98"/>
      <c r="AA632" s="108">
        <v>10.199999999999999</v>
      </c>
      <c r="AB632" s="19">
        <f t="shared" si="0"/>
        <v>51</v>
      </c>
      <c r="AC632" s="18"/>
      <c r="AD632" s="7"/>
    </row>
    <row r="633" spans="1:30" s="27" customFormat="1" outlineLevel="3" x14ac:dyDescent="0.25">
      <c r="A633" s="1" t="s">
        <v>5</v>
      </c>
      <c r="B633" s="1" t="s">
        <v>5</v>
      </c>
      <c r="C633" s="1" t="s">
        <v>5</v>
      </c>
      <c r="D633" s="1" t="s">
        <v>4</v>
      </c>
      <c r="E633" s="26" t="s">
        <v>385</v>
      </c>
      <c r="F633" s="13"/>
      <c r="G633" s="13"/>
      <c r="U633" s="17" t="s">
        <v>462</v>
      </c>
      <c r="V633" s="18">
        <v>6</v>
      </c>
      <c r="W633" s="47" t="s">
        <v>1019</v>
      </c>
      <c r="X633" s="18"/>
      <c r="Y633" s="21"/>
      <c r="Z633" s="98"/>
      <c r="AA633" s="108">
        <v>0.51</v>
      </c>
      <c r="AB633" s="19">
        <f t="shared" si="0"/>
        <v>3.06</v>
      </c>
      <c r="AC633" s="18"/>
      <c r="AD633" s="7"/>
    </row>
    <row r="634" spans="1:30" s="27" customFormat="1" outlineLevel="3" x14ac:dyDescent="0.25">
      <c r="A634" s="1" t="s">
        <v>5</v>
      </c>
      <c r="B634" s="1" t="s">
        <v>5</v>
      </c>
      <c r="C634" s="1" t="s">
        <v>5</v>
      </c>
      <c r="D634" s="1" t="s">
        <v>4</v>
      </c>
      <c r="E634" s="26" t="s">
        <v>386</v>
      </c>
      <c r="F634" s="13"/>
      <c r="G634" s="13"/>
      <c r="U634" s="17" t="s">
        <v>463</v>
      </c>
      <c r="V634" s="18">
        <v>1</v>
      </c>
      <c r="W634" s="47" t="s">
        <v>1019</v>
      </c>
      <c r="X634" s="18"/>
      <c r="Y634" s="21"/>
      <c r="Z634" s="98"/>
      <c r="AA634" s="108">
        <v>13.5</v>
      </c>
      <c r="AB634" s="19">
        <f t="shared" si="0"/>
        <v>13.5</v>
      </c>
      <c r="AC634" s="18"/>
      <c r="AD634" s="7"/>
    </row>
    <row r="635" spans="1:30" s="27" customFormat="1" outlineLevel="3" x14ac:dyDescent="0.25">
      <c r="A635" s="1" t="s">
        <v>5</v>
      </c>
      <c r="B635" s="1" t="s">
        <v>5</v>
      </c>
      <c r="C635" s="1" t="s">
        <v>5</v>
      </c>
      <c r="D635" s="1" t="s">
        <v>4</v>
      </c>
      <c r="E635" s="26" t="s">
        <v>387</v>
      </c>
      <c r="F635" s="13"/>
      <c r="G635" s="13"/>
      <c r="U635" s="17" t="s">
        <v>464</v>
      </c>
      <c r="V635" s="18">
        <v>1</v>
      </c>
      <c r="W635" s="47" t="s">
        <v>1019</v>
      </c>
      <c r="X635" s="18"/>
      <c r="Y635" s="21"/>
      <c r="Z635" s="98"/>
      <c r="AA635" s="108">
        <v>60.3</v>
      </c>
      <c r="AB635" s="19">
        <f t="shared" si="0"/>
        <v>60.3</v>
      </c>
      <c r="AC635" s="18"/>
      <c r="AD635" s="7"/>
    </row>
    <row r="636" spans="1:30" s="27" customFormat="1" outlineLevel="3" x14ac:dyDescent="0.25">
      <c r="A636" s="1" t="s">
        <v>5</v>
      </c>
      <c r="B636" s="1" t="s">
        <v>5</v>
      </c>
      <c r="C636" s="1" t="s">
        <v>5</v>
      </c>
      <c r="D636" s="1" t="s">
        <v>4</v>
      </c>
      <c r="E636" s="26" t="s">
        <v>388</v>
      </c>
      <c r="F636" s="13"/>
      <c r="G636" s="13"/>
      <c r="U636" s="17" t="s">
        <v>465</v>
      </c>
      <c r="V636" s="18">
        <v>1</v>
      </c>
      <c r="W636" s="47" t="s">
        <v>1019</v>
      </c>
      <c r="X636" s="18"/>
      <c r="Y636" s="21"/>
      <c r="Z636" s="98"/>
      <c r="AA636" s="108">
        <v>2.0499999999999998</v>
      </c>
      <c r="AB636" s="19">
        <f t="shared" si="0"/>
        <v>2.0499999999999998</v>
      </c>
      <c r="AC636" s="18"/>
      <c r="AD636" s="7"/>
    </row>
    <row r="637" spans="1:30" s="27" customFormat="1" outlineLevel="3" x14ac:dyDescent="0.25">
      <c r="A637" s="1" t="s">
        <v>5</v>
      </c>
      <c r="B637" s="1" t="s">
        <v>5</v>
      </c>
      <c r="C637" s="1" t="s">
        <v>5</v>
      </c>
      <c r="D637" s="1" t="s">
        <v>4</v>
      </c>
      <c r="E637" s="26" t="s">
        <v>389</v>
      </c>
      <c r="F637" s="13"/>
      <c r="G637" s="13"/>
      <c r="U637" s="17" t="s">
        <v>466</v>
      </c>
      <c r="V637" s="18">
        <v>1</v>
      </c>
      <c r="W637" s="47" t="s">
        <v>1019</v>
      </c>
      <c r="X637" s="18"/>
      <c r="Y637" s="21"/>
      <c r="Z637" s="98"/>
      <c r="AA637" s="108">
        <v>45.6</v>
      </c>
      <c r="AB637" s="19">
        <f t="shared" si="0"/>
        <v>45.6</v>
      </c>
      <c r="AC637" s="18"/>
      <c r="AD637" s="7"/>
    </row>
    <row r="638" spans="1:30" s="27" customFormat="1" outlineLevel="3" x14ac:dyDescent="0.25">
      <c r="A638" s="1" t="s">
        <v>5</v>
      </c>
      <c r="B638" s="1" t="s">
        <v>5</v>
      </c>
      <c r="C638" s="1" t="s">
        <v>5</v>
      </c>
      <c r="D638" s="1" t="s">
        <v>4</v>
      </c>
      <c r="E638" s="26" t="s">
        <v>390</v>
      </c>
      <c r="F638" s="13"/>
      <c r="G638" s="13"/>
      <c r="U638" s="17" t="s">
        <v>467</v>
      </c>
      <c r="V638" s="18">
        <v>2</v>
      </c>
      <c r="W638" s="47" t="s">
        <v>1019</v>
      </c>
      <c r="X638" s="18"/>
      <c r="Y638" s="21"/>
      <c r="Z638" s="98"/>
      <c r="AA638" s="108">
        <v>0.83</v>
      </c>
      <c r="AB638" s="19">
        <f t="shared" si="0"/>
        <v>1.66</v>
      </c>
      <c r="AC638" s="18"/>
      <c r="AD638" s="7"/>
    </row>
    <row r="639" spans="1:30" s="27" customFormat="1" outlineLevel="3" x14ac:dyDescent="0.25">
      <c r="A639" s="1" t="s">
        <v>5</v>
      </c>
      <c r="B639" s="1" t="s">
        <v>5</v>
      </c>
      <c r="C639" s="1" t="s">
        <v>5</v>
      </c>
      <c r="D639" s="1" t="s">
        <v>4</v>
      </c>
      <c r="E639" s="26" t="s">
        <v>391</v>
      </c>
      <c r="F639" s="13"/>
      <c r="G639" s="13"/>
      <c r="U639" s="17" t="s">
        <v>468</v>
      </c>
      <c r="V639" s="18">
        <v>3</v>
      </c>
      <c r="W639" s="47" t="s">
        <v>1019</v>
      </c>
      <c r="X639" s="18"/>
      <c r="Y639" s="21"/>
      <c r="Z639" s="98"/>
      <c r="AA639" s="108">
        <v>27.8</v>
      </c>
      <c r="AB639" s="19">
        <f t="shared" si="0"/>
        <v>83.4</v>
      </c>
      <c r="AC639" s="18"/>
      <c r="AD639" s="7"/>
    </row>
    <row r="640" spans="1:30" s="27" customFormat="1" outlineLevel="3" x14ac:dyDescent="0.25">
      <c r="A640" s="1" t="s">
        <v>5</v>
      </c>
      <c r="B640" s="1" t="s">
        <v>5</v>
      </c>
      <c r="C640" s="1" t="s">
        <v>5</v>
      </c>
      <c r="D640" s="1" t="s">
        <v>4</v>
      </c>
      <c r="E640" s="26" t="s">
        <v>392</v>
      </c>
      <c r="F640" s="13"/>
      <c r="G640" s="13"/>
      <c r="U640" s="17" t="s">
        <v>469</v>
      </c>
      <c r="V640" s="18">
        <v>1</v>
      </c>
      <c r="W640" s="47" t="s">
        <v>1019</v>
      </c>
      <c r="X640" s="18"/>
      <c r="Y640" s="21"/>
      <c r="Z640" s="98"/>
      <c r="AA640" s="108">
        <v>3.43</v>
      </c>
      <c r="AB640" s="19">
        <f t="shared" si="0"/>
        <v>3.43</v>
      </c>
      <c r="AC640" s="18"/>
      <c r="AD640" s="7"/>
    </row>
    <row r="641" spans="1:30" s="27" customFormat="1" outlineLevel="3" x14ac:dyDescent="0.25">
      <c r="A641" s="1" t="s">
        <v>5</v>
      </c>
      <c r="B641" s="1" t="s">
        <v>5</v>
      </c>
      <c r="C641" s="1" t="s">
        <v>5</v>
      </c>
      <c r="D641" s="1" t="s">
        <v>4</v>
      </c>
      <c r="E641" s="26" t="s">
        <v>393</v>
      </c>
      <c r="F641" s="13"/>
      <c r="G641" s="13"/>
      <c r="U641" s="17" t="s">
        <v>470</v>
      </c>
      <c r="V641" s="18">
        <v>2</v>
      </c>
      <c r="W641" s="47" t="s">
        <v>1019</v>
      </c>
      <c r="X641" s="18"/>
      <c r="Y641" s="21"/>
      <c r="Z641" s="98"/>
      <c r="AA641" s="108">
        <v>25.8</v>
      </c>
      <c r="AB641" s="19">
        <f t="shared" si="0"/>
        <v>51.6</v>
      </c>
      <c r="AC641" s="18"/>
      <c r="AD641" s="7"/>
    </row>
    <row r="642" spans="1:30" s="27" customFormat="1" outlineLevel="3" x14ac:dyDescent="0.25">
      <c r="A642" s="1" t="s">
        <v>5</v>
      </c>
      <c r="B642" s="1" t="s">
        <v>5</v>
      </c>
      <c r="C642" s="1" t="s">
        <v>5</v>
      </c>
      <c r="D642" s="1" t="s">
        <v>4</v>
      </c>
      <c r="E642" s="26" t="s">
        <v>394</v>
      </c>
      <c r="F642" s="13"/>
      <c r="G642" s="13"/>
      <c r="U642" s="17" t="s">
        <v>471</v>
      </c>
      <c r="V642" s="18">
        <v>1</v>
      </c>
      <c r="W642" s="47" t="s">
        <v>1019</v>
      </c>
      <c r="X642" s="18"/>
      <c r="Y642" s="21"/>
      <c r="Z642" s="98"/>
      <c r="AA642" s="108">
        <v>5.32</v>
      </c>
      <c r="AB642" s="19">
        <f t="shared" si="0"/>
        <v>5.32</v>
      </c>
      <c r="AC642" s="18"/>
      <c r="AD642" s="7"/>
    </row>
    <row r="643" spans="1:30" s="27" customFormat="1" outlineLevel="3" x14ac:dyDescent="0.25">
      <c r="A643" s="1" t="s">
        <v>5</v>
      </c>
      <c r="B643" s="1" t="s">
        <v>5</v>
      </c>
      <c r="C643" s="1" t="s">
        <v>5</v>
      </c>
      <c r="D643" s="1" t="s">
        <v>4</v>
      </c>
      <c r="E643" s="26" t="s">
        <v>395</v>
      </c>
      <c r="F643" s="13"/>
      <c r="G643" s="13"/>
      <c r="U643" s="17" t="s">
        <v>472</v>
      </c>
      <c r="V643" s="18">
        <v>1</v>
      </c>
      <c r="W643" s="47" t="s">
        <v>1019</v>
      </c>
      <c r="X643" s="18"/>
      <c r="Y643" s="21"/>
      <c r="Z643" s="98"/>
      <c r="AA643" s="108">
        <v>1.99</v>
      </c>
      <c r="AB643" s="19">
        <f t="shared" si="0"/>
        <v>1.99</v>
      </c>
      <c r="AC643" s="18"/>
      <c r="AD643" s="7"/>
    </row>
    <row r="644" spans="1:30" s="27" customFormat="1" outlineLevel="3" x14ac:dyDescent="0.25">
      <c r="A644" s="1" t="s">
        <v>5</v>
      </c>
      <c r="B644" s="1" t="s">
        <v>5</v>
      </c>
      <c r="C644" s="1" t="s">
        <v>5</v>
      </c>
      <c r="D644" s="1" t="s">
        <v>4</v>
      </c>
      <c r="E644" s="26" t="s">
        <v>396</v>
      </c>
      <c r="F644" s="13"/>
      <c r="G644" s="13"/>
      <c r="U644" s="17" t="s">
        <v>473</v>
      </c>
      <c r="V644" s="18">
        <v>1</v>
      </c>
      <c r="W644" s="47" t="s">
        <v>1019</v>
      </c>
      <c r="X644" s="18"/>
      <c r="Y644" s="21"/>
      <c r="Z644" s="98"/>
      <c r="AA644" s="108">
        <v>28.3</v>
      </c>
      <c r="AB644" s="19">
        <f t="shared" si="0"/>
        <v>28.3</v>
      </c>
      <c r="AC644" s="18"/>
      <c r="AD644" s="7"/>
    </row>
    <row r="645" spans="1:30" s="27" customFormat="1" outlineLevel="3" x14ac:dyDescent="0.25">
      <c r="A645" s="1" t="s">
        <v>5</v>
      </c>
      <c r="B645" s="1" t="s">
        <v>5</v>
      </c>
      <c r="C645" s="1" t="s">
        <v>5</v>
      </c>
      <c r="D645" s="1" t="s">
        <v>4</v>
      </c>
      <c r="E645" s="26" t="s">
        <v>397</v>
      </c>
      <c r="F645" s="13"/>
      <c r="G645" s="13"/>
      <c r="U645" s="17" t="s">
        <v>474</v>
      </c>
      <c r="V645" s="18">
        <v>1</v>
      </c>
      <c r="W645" s="47" t="s">
        <v>1019</v>
      </c>
      <c r="X645" s="18"/>
      <c r="Y645" s="21"/>
      <c r="Z645" s="98"/>
      <c r="AA645" s="108">
        <v>55</v>
      </c>
      <c r="AB645" s="19">
        <f t="shared" si="0"/>
        <v>55</v>
      </c>
      <c r="AC645" s="18"/>
      <c r="AD645" s="7"/>
    </row>
    <row r="646" spans="1:30" s="27" customFormat="1" outlineLevel="3" x14ac:dyDescent="0.25">
      <c r="A646" s="1" t="s">
        <v>5</v>
      </c>
      <c r="B646" s="1" t="s">
        <v>5</v>
      </c>
      <c r="C646" s="1" t="s">
        <v>5</v>
      </c>
      <c r="D646" s="1" t="s">
        <v>4</v>
      </c>
      <c r="E646" s="26" t="s">
        <v>398</v>
      </c>
      <c r="F646" s="13"/>
      <c r="G646" s="13"/>
      <c r="U646" s="17" t="s">
        <v>475</v>
      </c>
      <c r="V646" s="18">
        <v>1</v>
      </c>
      <c r="W646" s="47" t="s">
        <v>1019</v>
      </c>
      <c r="X646" s="18"/>
      <c r="Y646" s="21"/>
      <c r="Z646" s="98"/>
      <c r="AA646" s="108">
        <v>131</v>
      </c>
      <c r="AB646" s="19">
        <f t="shared" si="0"/>
        <v>131</v>
      </c>
      <c r="AC646" s="18"/>
      <c r="AD646" s="7"/>
    </row>
    <row r="647" spans="1:30" s="27" customFormat="1" outlineLevel="3" x14ac:dyDescent="0.25">
      <c r="A647" s="1" t="s">
        <v>5</v>
      </c>
      <c r="B647" s="1" t="s">
        <v>5</v>
      </c>
      <c r="C647" s="1" t="s">
        <v>5</v>
      </c>
      <c r="D647" s="1" t="s">
        <v>4</v>
      </c>
      <c r="E647" s="26" t="s">
        <v>399</v>
      </c>
      <c r="F647" s="13"/>
      <c r="G647" s="13"/>
      <c r="U647" s="17" t="s">
        <v>476</v>
      </c>
      <c r="V647" s="18">
        <v>1</v>
      </c>
      <c r="W647" s="47" t="s">
        <v>1019</v>
      </c>
      <c r="X647" s="18"/>
      <c r="Y647" s="21"/>
      <c r="Z647" s="98"/>
      <c r="AA647" s="108">
        <v>25.8</v>
      </c>
      <c r="AB647" s="19">
        <f t="shared" si="0"/>
        <v>25.8</v>
      </c>
      <c r="AC647" s="18"/>
      <c r="AD647" s="7"/>
    </row>
    <row r="648" spans="1:30" s="27" customFormat="1" outlineLevel="3" x14ac:dyDescent="0.25">
      <c r="A648" s="1" t="s">
        <v>5</v>
      </c>
      <c r="B648" s="1" t="s">
        <v>5</v>
      </c>
      <c r="C648" s="1" t="s">
        <v>5</v>
      </c>
      <c r="D648" s="1" t="s">
        <v>4</v>
      </c>
      <c r="E648" s="26" t="s">
        <v>400</v>
      </c>
      <c r="F648" s="13"/>
      <c r="G648" s="13"/>
      <c r="U648" s="17" t="s">
        <v>477</v>
      </c>
      <c r="V648" s="18">
        <v>1</v>
      </c>
      <c r="W648" s="47" t="s">
        <v>1019</v>
      </c>
      <c r="X648" s="18"/>
      <c r="Y648" s="21"/>
      <c r="Z648" s="98"/>
      <c r="AA648" s="108">
        <v>56.1</v>
      </c>
      <c r="AB648" s="19">
        <f t="shared" si="0"/>
        <v>56.1</v>
      </c>
      <c r="AC648" s="18"/>
      <c r="AD648" s="7"/>
    </row>
    <row r="649" spans="1:30" s="27" customFormat="1" outlineLevel="3" x14ac:dyDescent="0.25">
      <c r="A649" s="1" t="s">
        <v>5</v>
      </c>
      <c r="B649" s="1" t="s">
        <v>5</v>
      </c>
      <c r="C649" s="1" t="s">
        <v>5</v>
      </c>
      <c r="D649" s="1" t="s">
        <v>4</v>
      </c>
      <c r="E649" s="26" t="s">
        <v>401</v>
      </c>
      <c r="F649" s="13"/>
      <c r="G649" s="13"/>
      <c r="U649" s="17" t="s">
        <v>478</v>
      </c>
      <c r="V649" s="18">
        <v>1</v>
      </c>
      <c r="W649" s="47" t="s">
        <v>1019</v>
      </c>
      <c r="X649" s="18"/>
      <c r="Y649" s="21"/>
      <c r="Z649" s="98"/>
      <c r="AA649" s="108">
        <v>336</v>
      </c>
      <c r="AB649" s="19">
        <f t="shared" si="0"/>
        <v>336</v>
      </c>
      <c r="AC649" s="18"/>
      <c r="AD649" s="7"/>
    </row>
    <row r="650" spans="1:30" s="27" customFormat="1" outlineLevel="3" x14ac:dyDescent="0.25">
      <c r="A650" s="1" t="s">
        <v>5</v>
      </c>
      <c r="B650" s="1" t="s">
        <v>5</v>
      </c>
      <c r="C650" s="1" t="s">
        <v>5</v>
      </c>
      <c r="D650" s="1" t="s">
        <v>4</v>
      </c>
      <c r="E650" s="26" t="s">
        <v>402</v>
      </c>
      <c r="F650" s="13"/>
      <c r="G650" s="13"/>
      <c r="U650" s="17" t="s">
        <v>479</v>
      </c>
      <c r="V650" s="18">
        <v>1</v>
      </c>
      <c r="W650" s="47" t="s">
        <v>1019</v>
      </c>
      <c r="X650" s="18"/>
      <c r="Y650" s="21"/>
      <c r="Z650" s="98"/>
      <c r="AA650" s="108">
        <v>352</v>
      </c>
      <c r="AB650" s="19">
        <f t="shared" si="0"/>
        <v>352</v>
      </c>
      <c r="AC650" s="18"/>
      <c r="AD650" s="7"/>
    </row>
    <row r="651" spans="1:30" s="27" customFormat="1" outlineLevel="3" x14ac:dyDescent="0.25">
      <c r="A651" s="1" t="s">
        <v>5</v>
      </c>
      <c r="B651" s="1" t="s">
        <v>5</v>
      </c>
      <c r="C651" s="1" t="s">
        <v>5</v>
      </c>
      <c r="D651" s="1" t="s">
        <v>4</v>
      </c>
      <c r="E651" s="26" t="s">
        <v>403</v>
      </c>
      <c r="F651" s="13"/>
      <c r="G651" s="13"/>
      <c r="U651" s="17" t="s">
        <v>480</v>
      </c>
      <c r="V651" s="18">
        <v>1</v>
      </c>
      <c r="W651" s="47" t="s">
        <v>1019</v>
      </c>
      <c r="X651" s="18"/>
      <c r="Y651" s="21"/>
      <c r="Z651" s="98"/>
      <c r="AA651" s="108">
        <v>40.9</v>
      </c>
      <c r="AB651" s="19">
        <f t="shared" si="0"/>
        <v>40.9</v>
      </c>
      <c r="AC651" s="18"/>
      <c r="AD651" s="7"/>
    </row>
    <row r="652" spans="1:30" s="27" customFormat="1" outlineLevel="3" x14ac:dyDescent="0.25">
      <c r="A652" s="1" t="s">
        <v>5</v>
      </c>
      <c r="B652" s="1" t="s">
        <v>5</v>
      </c>
      <c r="C652" s="1" t="s">
        <v>5</v>
      </c>
      <c r="D652" s="1" t="s">
        <v>4</v>
      </c>
      <c r="E652" s="26" t="s">
        <v>404</v>
      </c>
      <c r="F652" s="13"/>
      <c r="G652" s="13"/>
      <c r="U652" s="17" t="s">
        <v>481</v>
      </c>
      <c r="V652" s="18">
        <v>1</v>
      </c>
      <c r="W652" s="47" t="s">
        <v>1019</v>
      </c>
      <c r="X652" s="18"/>
      <c r="Y652" s="21"/>
      <c r="Z652" s="98"/>
      <c r="AA652" s="108">
        <v>409</v>
      </c>
      <c r="AB652" s="19">
        <f t="shared" si="0"/>
        <v>409</v>
      </c>
      <c r="AC652" s="18"/>
      <c r="AD652" s="7"/>
    </row>
    <row r="653" spans="1:30" s="27" customFormat="1" outlineLevel="3" x14ac:dyDescent="0.25">
      <c r="A653" s="1" t="s">
        <v>5</v>
      </c>
      <c r="B653" s="1" t="s">
        <v>5</v>
      </c>
      <c r="C653" s="1" t="s">
        <v>5</v>
      </c>
      <c r="D653" s="1" t="s">
        <v>4</v>
      </c>
      <c r="E653" s="26" t="s">
        <v>405</v>
      </c>
      <c r="F653" s="13"/>
      <c r="G653" s="13"/>
      <c r="U653" s="17" t="s">
        <v>482</v>
      </c>
      <c r="V653" s="18">
        <v>1</v>
      </c>
      <c r="W653" s="47" t="s">
        <v>1019</v>
      </c>
      <c r="X653" s="18"/>
      <c r="Y653" s="21"/>
      <c r="Z653" s="98"/>
      <c r="AA653" s="108">
        <v>99.1</v>
      </c>
      <c r="AB653" s="19">
        <f t="shared" si="0"/>
        <v>99.1</v>
      </c>
      <c r="AC653" s="18"/>
      <c r="AD653" s="7"/>
    </row>
    <row r="654" spans="1:30" s="27" customFormat="1" outlineLevel="3" x14ac:dyDescent="0.25">
      <c r="A654" s="1" t="s">
        <v>5</v>
      </c>
      <c r="B654" s="1" t="s">
        <v>5</v>
      </c>
      <c r="C654" s="1" t="s">
        <v>5</v>
      </c>
      <c r="D654" s="1" t="s">
        <v>4</v>
      </c>
      <c r="E654" s="26" t="s">
        <v>406</v>
      </c>
      <c r="F654" s="13"/>
      <c r="G654" s="13"/>
      <c r="U654" s="17" t="s">
        <v>483</v>
      </c>
      <c r="V654" s="18">
        <v>1</v>
      </c>
      <c r="W654" s="47" t="s">
        <v>1019</v>
      </c>
      <c r="X654" s="18"/>
      <c r="Y654" s="21"/>
      <c r="Z654" s="98"/>
      <c r="AA654" s="108">
        <v>30.8</v>
      </c>
      <c r="AB654" s="19">
        <f t="shared" si="0"/>
        <v>30.8</v>
      </c>
      <c r="AC654" s="18"/>
      <c r="AD654" s="7"/>
    </row>
    <row r="655" spans="1:30" s="27" customFormat="1" outlineLevel="3" x14ac:dyDescent="0.25">
      <c r="A655" s="1" t="s">
        <v>5</v>
      </c>
      <c r="B655" s="1" t="s">
        <v>5</v>
      </c>
      <c r="C655" s="1" t="s">
        <v>5</v>
      </c>
      <c r="D655" s="1" t="s">
        <v>4</v>
      </c>
      <c r="E655" s="26" t="s">
        <v>407</v>
      </c>
      <c r="F655" s="13"/>
      <c r="G655" s="13"/>
      <c r="U655" s="17" t="s">
        <v>484</v>
      </c>
      <c r="V655" s="18">
        <v>3</v>
      </c>
      <c r="W655" s="47" t="s">
        <v>1019</v>
      </c>
      <c r="X655" s="18"/>
      <c r="Y655" s="21"/>
      <c r="Z655" s="98"/>
      <c r="AA655" s="108">
        <v>87.5</v>
      </c>
      <c r="AB655" s="19">
        <f t="shared" si="0"/>
        <v>262.5</v>
      </c>
      <c r="AC655" s="18"/>
      <c r="AD655" s="7"/>
    </row>
    <row r="656" spans="1:30" s="27" customFormat="1" outlineLevel="3" x14ac:dyDescent="0.25">
      <c r="A656" s="1" t="s">
        <v>5</v>
      </c>
      <c r="B656" s="1" t="s">
        <v>5</v>
      </c>
      <c r="C656" s="1" t="s">
        <v>5</v>
      </c>
      <c r="D656" s="1" t="s">
        <v>4</v>
      </c>
      <c r="E656" s="26" t="s">
        <v>408</v>
      </c>
      <c r="F656" s="13"/>
      <c r="G656" s="13"/>
      <c r="U656" s="17" t="s">
        <v>485</v>
      </c>
      <c r="V656" s="18">
        <v>3</v>
      </c>
      <c r="W656" s="47" t="s">
        <v>1019</v>
      </c>
      <c r="X656" s="18"/>
      <c r="Y656" s="21"/>
      <c r="Z656" s="98"/>
      <c r="AA656" s="108">
        <v>3.01</v>
      </c>
      <c r="AB656" s="19">
        <f t="shared" si="0"/>
        <v>9.0299999999999994</v>
      </c>
      <c r="AC656" s="18"/>
      <c r="AD656" s="7"/>
    </row>
    <row r="657" spans="1:30" s="27" customFormat="1" outlineLevel="3" x14ac:dyDescent="0.25">
      <c r="A657" s="1" t="s">
        <v>5</v>
      </c>
      <c r="B657" s="1" t="s">
        <v>5</v>
      </c>
      <c r="C657" s="1" t="s">
        <v>5</v>
      </c>
      <c r="D657" s="1" t="s">
        <v>4</v>
      </c>
      <c r="E657" s="26" t="s">
        <v>409</v>
      </c>
      <c r="F657" s="13"/>
      <c r="G657" s="13"/>
      <c r="U657" s="17" t="s">
        <v>486</v>
      </c>
      <c r="V657" s="18">
        <v>2</v>
      </c>
      <c r="W657" s="47" t="s">
        <v>1019</v>
      </c>
      <c r="X657" s="18"/>
      <c r="Y657" s="21"/>
      <c r="Z657" s="98"/>
      <c r="AA657" s="108">
        <v>134</v>
      </c>
      <c r="AB657" s="19">
        <f t="shared" si="0"/>
        <v>268</v>
      </c>
      <c r="AC657" s="18"/>
      <c r="AD657" s="7"/>
    </row>
    <row r="658" spans="1:30" s="27" customFormat="1" outlineLevel="3" x14ac:dyDescent="0.25">
      <c r="A658" s="1" t="s">
        <v>5</v>
      </c>
      <c r="B658" s="1" t="s">
        <v>5</v>
      </c>
      <c r="C658" s="1" t="s">
        <v>5</v>
      </c>
      <c r="D658" s="1" t="s">
        <v>4</v>
      </c>
      <c r="E658" s="26" t="s">
        <v>410</v>
      </c>
      <c r="F658" s="13"/>
      <c r="G658" s="13"/>
      <c r="U658" s="17" t="s">
        <v>487</v>
      </c>
      <c r="V658" s="18">
        <v>1</v>
      </c>
      <c r="W658" s="47" t="s">
        <v>1019</v>
      </c>
      <c r="X658" s="18"/>
      <c r="Y658" s="21"/>
      <c r="Z658" s="98"/>
      <c r="AA658" s="108">
        <v>14.1</v>
      </c>
      <c r="AB658" s="19">
        <f t="shared" si="0"/>
        <v>14.1</v>
      </c>
      <c r="AC658" s="18"/>
      <c r="AD658" s="7"/>
    </row>
    <row r="659" spans="1:30" s="27" customFormat="1" outlineLevel="3" x14ac:dyDescent="0.25">
      <c r="A659" s="1" t="s">
        <v>5</v>
      </c>
      <c r="B659" s="1" t="s">
        <v>5</v>
      </c>
      <c r="C659" s="1" t="s">
        <v>5</v>
      </c>
      <c r="D659" s="1" t="s">
        <v>4</v>
      </c>
      <c r="E659" s="26" t="s">
        <v>411</v>
      </c>
      <c r="F659" s="13"/>
      <c r="G659" s="13"/>
      <c r="U659" s="17" t="s">
        <v>488</v>
      </c>
      <c r="V659" s="18">
        <v>1</v>
      </c>
      <c r="W659" s="47" t="s">
        <v>1019</v>
      </c>
      <c r="X659" s="18"/>
      <c r="Y659" s="21"/>
      <c r="Z659" s="98"/>
      <c r="AA659" s="108">
        <v>6.09</v>
      </c>
      <c r="AB659" s="19">
        <f t="shared" si="0"/>
        <v>6.09</v>
      </c>
      <c r="AC659" s="18"/>
      <c r="AD659" s="7"/>
    </row>
    <row r="660" spans="1:30" s="27" customFormat="1" outlineLevel="3" x14ac:dyDescent="0.25">
      <c r="A660" s="1" t="s">
        <v>5</v>
      </c>
      <c r="B660" s="1" t="s">
        <v>5</v>
      </c>
      <c r="C660" s="1" t="s">
        <v>5</v>
      </c>
      <c r="D660" s="1" t="s">
        <v>4</v>
      </c>
      <c r="E660" s="26" t="s">
        <v>412</v>
      </c>
      <c r="F660" s="13"/>
      <c r="G660" s="13"/>
      <c r="U660" s="17" t="s">
        <v>489</v>
      </c>
      <c r="V660" s="18">
        <v>1</v>
      </c>
      <c r="W660" s="47" t="s">
        <v>1019</v>
      </c>
      <c r="X660" s="18"/>
      <c r="Y660" s="21"/>
      <c r="Z660" s="98"/>
      <c r="AA660" s="108">
        <v>53.1</v>
      </c>
      <c r="AB660" s="19">
        <f t="shared" si="0"/>
        <v>53.1</v>
      </c>
      <c r="AC660" s="18"/>
      <c r="AD660" s="7"/>
    </row>
    <row r="661" spans="1:30" s="27" customFormat="1" outlineLevel="3" x14ac:dyDescent="0.25">
      <c r="A661" s="1" t="s">
        <v>5</v>
      </c>
      <c r="B661" s="1" t="s">
        <v>5</v>
      </c>
      <c r="C661" s="1" t="s">
        <v>5</v>
      </c>
      <c r="D661" s="1" t="s">
        <v>4</v>
      </c>
      <c r="E661" s="26" t="s">
        <v>413</v>
      </c>
      <c r="F661" s="13"/>
      <c r="G661" s="13"/>
      <c r="U661" s="17" t="s">
        <v>490</v>
      </c>
      <c r="V661" s="18">
        <v>1</v>
      </c>
      <c r="W661" s="47" t="s">
        <v>1019</v>
      </c>
      <c r="X661" s="18"/>
      <c r="Y661" s="21"/>
      <c r="Z661" s="98"/>
      <c r="AA661" s="108">
        <v>5.73</v>
      </c>
      <c r="AB661" s="19">
        <f t="shared" si="0"/>
        <v>5.73</v>
      </c>
      <c r="AC661" s="18"/>
      <c r="AD661" s="7"/>
    </row>
    <row r="662" spans="1:30" s="27" customFormat="1" outlineLevel="3" x14ac:dyDescent="0.25">
      <c r="A662" s="1" t="s">
        <v>5</v>
      </c>
      <c r="B662" s="1" t="s">
        <v>5</v>
      </c>
      <c r="C662" s="1" t="s">
        <v>5</v>
      </c>
      <c r="D662" s="1" t="s">
        <v>4</v>
      </c>
      <c r="E662" s="26" t="s">
        <v>414</v>
      </c>
      <c r="F662" s="13"/>
      <c r="G662" s="13"/>
      <c r="U662" s="17" t="s">
        <v>491</v>
      </c>
      <c r="V662" s="18">
        <v>14</v>
      </c>
      <c r="W662" s="47" t="s">
        <v>1019</v>
      </c>
      <c r="X662" s="18"/>
      <c r="Y662" s="21"/>
      <c r="Z662" s="98"/>
      <c r="AA662" s="108">
        <v>9.2200000000000006</v>
      </c>
      <c r="AB662" s="19">
        <f t="shared" si="0"/>
        <v>129.08000000000001</v>
      </c>
      <c r="AC662" s="18"/>
      <c r="AD662" s="7"/>
    </row>
    <row r="663" spans="1:30" s="27" customFormat="1" outlineLevel="3" x14ac:dyDescent="0.25">
      <c r="A663" s="1" t="s">
        <v>5</v>
      </c>
      <c r="B663" s="1" t="s">
        <v>5</v>
      </c>
      <c r="C663" s="1" t="s">
        <v>5</v>
      </c>
      <c r="D663" s="1" t="s">
        <v>4</v>
      </c>
      <c r="E663" s="26" t="s">
        <v>415</v>
      </c>
      <c r="F663" s="13"/>
      <c r="G663" s="13"/>
      <c r="U663" s="17" t="s">
        <v>492</v>
      </c>
      <c r="V663" s="18">
        <v>5</v>
      </c>
      <c r="W663" s="47" t="s">
        <v>1019</v>
      </c>
      <c r="X663" s="18"/>
      <c r="Y663" s="21"/>
      <c r="Z663" s="98"/>
      <c r="AA663" s="108">
        <v>0.8</v>
      </c>
      <c r="AB663" s="19">
        <f t="shared" si="0"/>
        <v>4</v>
      </c>
      <c r="AC663" s="18"/>
      <c r="AD663" s="7"/>
    </row>
    <row r="664" spans="1:30" s="27" customFormat="1" outlineLevel="3" x14ac:dyDescent="0.25">
      <c r="A664" s="1" t="s">
        <v>5</v>
      </c>
      <c r="B664" s="1" t="s">
        <v>5</v>
      </c>
      <c r="C664" s="1" t="s">
        <v>5</v>
      </c>
      <c r="D664" s="1" t="s">
        <v>4</v>
      </c>
      <c r="E664" s="26" t="s">
        <v>416</v>
      </c>
      <c r="F664" s="13"/>
      <c r="G664" s="13"/>
      <c r="U664" s="17" t="s">
        <v>493</v>
      </c>
      <c r="V664" s="18">
        <v>9</v>
      </c>
      <c r="W664" s="47" t="s">
        <v>1019</v>
      </c>
      <c r="X664" s="18"/>
      <c r="Y664" s="21"/>
      <c r="Z664" s="98"/>
      <c r="AA664" s="108">
        <v>26.8</v>
      </c>
      <c r="AB664" s="19">
        <f t="shared" si="0"/>
        <v>241.20000000000002</v>
      </c>
      <c r="AC664" s="18"/>
      <c r="AD664" s="7"/>
    </row>
    <row r="665" spans="1:30" s="27" customFormat="1" outlineLevel="3" x14ac:dyDescent="0.25">
      <c r="A665" s="1" t="s">
        <v>5</v>
      </c>
      <c r="B665" s="1" t="s">
        <v>5</v>
      </c>
      <c r="C665" s="1" t="s">
        <v>5</v>
      </c>
      <c r="D665" s="1" t="s">
        <v>4</v>
      </c>
      <c r="E665" s="26" t="s">
        <v>417</v>
      </c>
      <c r="F665" s="13"/>
      <c r="G665" s="13"/>
      <c r="U665" s="17" t="s">
        <v>494</v>
      </c>
      <c r="V665" s="18">
        <v>1</v>
      </c>
      <c r="W665" s="47" t="s">
        <v>1019</v>
      </c>
      <c r="X665" s="18"/>
      <c r="Y665" s="21"/>
      <c r="Z665" s="98"/>
      <c r="AA665" s="108">
        <v>33.5</v>
      </c>
      <c r="AB665" s="19">
        <f t="shared" si="0"/>
        <v>33.5</v>
      </c>
      <c r="AC665" s="18"/>
      <c r="AD665" s="7"/>
    </row>
    <row r="666" spans="1:30" s="27" customFormat="1" outlineLevel="3" x14ac:dyDescent="0.25">
      <c r="A666" s="1" t="s">
        <v>5</v>
      </c>
      <c r="B666" s="1" t="s">
        <v>5</v>
      </c>
      <c r="C666" s="1" t="s">
        <v>5</v>
      </c>
      <c r="D666" s="1" t="s">
        <v>4</v>
      </c>
      <c r="E666" s="26" t="s">
        <v>418</v>
      </c>
      <c r="F666" s="13"/>
      <c r="G666" s="13"/>
      <c r="U666" s="17" t="s">
        <v>495</v>
      </c>
      <c r="V666" s="18">
        <v>2</v>
      </c>
      <c r="W666" s="47" t="s">
        <v>1019</v>
      </c>
      <c r="X666" s="18"/>
      <c r="Y666" s="21"/>
      <c r="Z666" s="98"/>
      <c r="AA666" s="108">
        <v>64.099999999999994</v>
      </c>
      <c r="AB666" s="19">
        <f t="shared" si="0"/>
        <v>128.19999999999999</v>
      </c>
      <c r="AC666" s="18"/>
      <c r="AD666" s="7"/>
    </row>
    <row r="667" spans="1:30" s="27" customFormat="1" outlineLevel="3" x14ac:dyDescent="0.25">
      <c r="A667" s="1" t="s">
        <v>5</v>
      </c>
      <c r="B667" s="1" t="s">
        <v>5</v>
      </c>
      <c r="C667" s="1" t="s">
        <v>5</v>
      </c>
      <c r="D667" s="1" t="s">
        <v>4</v>
      </c>
      <c r="E667" s="26" t="s">
        <v>419</v>
      </c>
      <c r="F667" s="13"/>
      <c r="G667" s="13"/>
      <c r="U667" s="17" t="s">
        <v>496</v>
      </c>
      <c r="V667" s="18">
        <v>1</v>
      </c>
      <c r="W667" s="47" t="s">
        <v>1019</v>
      </c>
      <c r="X667" s="18"/>
      <c r="Y667" s="21"/>
      <c r="Z667" s="98"/>
      <c r="AA667" s="108">
        <v>34.700000000000003</v>
      </c>
      <c r="AB667" s="19">
        <f t="shared" si="0"/>
        <v>34.700000000000003</v>
      </c>
      <c r="AC667" s="18"/>
      <c r="AD667" s="7"/>
    </row>
    <row r="668" spans="1:30" s="27" customFormat="1" outlineLevel="3" x14ac:dyDescent="0.25">
      <c r="A668" s="1" t="s">
        <v>5</v>
      </c>
      <c r="B668" s="1" t="s">
        <v>5</v>
      </c>
      <c r="C668" s="1" t="s">
        <v>5</v>
      </c>
      <c r="D668" s="1" t="s">
        <v>4</v>
      </c>
      <c r="E668" s="26" t="s">
        <v>420</v>
      </c>
      <c r="F668" s="13"/>
      <c r="G668" s="13"/>
      <c r="U668" s="17" t="s">
        <v>497</v>
      </c>
      <c r="V668" s="18">
        <v>1</v>
      </c>
      <c r="W668" s="47" t="s">
        <v>1019</v>
      </c>
      <c r="X668" s="18"/>
      <c r="Y668" s="21"/>
      <c r="Z668" s="98"/>
      <c r="AA668" s="108">
        <v>56.1</v>
      </c>
      <c r="AB668" s="19">
        <f t="shared" si="0"/>
        <v>56.1</v>
      </c>
      <c r="AC668" s="18"/>
      <c r="AD668" s="7"/>
    </row>
    <row r="669" spans="1:30" s="27" customFormat="1" outlineLevel="3" x14ac:dyDescent="0.25">
      <c r="A669" s="1" t="s">
        <v>5</v>
      </c>
      <c r="B669" s="1" t="s">
        <v>5</v>
      </c>
      <c r="C669" s="1" t="s">
        <v>5</v>
      </c>
      <c r="D669" s="1" t="s">
        <v>4</v>
      </c>
      <c r="E669" s="26" t="s">
        <v>421</v>
      </c>
      <c r="F669" s="13"/>
      <c r="G669" s="13"/>
      <c r="U669" s="17" t="s">
        <v>498</v>
      </c>
      <c r="V669" s="18">
        <v>7</v>
      </c>
      <c r="W669" s="47" t="s">
        <v>1019</v>
      </c>
      <c r="X669" s="18"/>
      <c r="Y669" s="21"/>
      <c r="Z669" s="98"/>
      <c r="AA669" s="108">
        <v>0.18</v>
      </c>
      <c r="AB669" s="19">
        <f t="shared" si="0"/>
        <v>1.26</v>
      </c>
      <c r="AC669" s="18"/>
      <c r="AD669" s="7"/>
    </row>
    <row r="670" spans="1:30" s="27" customFormat="1" outlineLevel="3" x14ac:dyDescent="0.25">
      <c r="A670" s="1" t="s">
        <v>5</v>
      </c>
      <c r="B670" s="1" t="s">
        <v>5</v>
      </c>
      <c r="C670" s="1" t="s">
        <v>5</v>
      </c>
      <c r="D670" s="1" t="s">
        <v>4</v>
      </c>
      <c r="E670" s="26" t="s">
        <v>422</v>
      </c>
      <c r="F670" s="13"/>
      <c r="G670" s="13"/>
      <c r="U670" s="17" t="s">
        <v>499</v>
      </c>
      <c r="V670" s="18">
        <v>7</v>
      </c>
      <c r="W670" s="47" t="s">
        <v>1019</v>
      </c>
      <c r="X670" s="18"/>
      <c r="Y670" s="21"/>
      <c r="Z670" s="98"/>
      <c r="AA670" s="108">
        <v>0.15</v>
      </c>
      <c r="AB670" s="19">
        <f t="shared" si="0"/>
        <v>1.05</v>
      </c>
      <c r="AC670" s="18"/>
      <c r="AD670" s="7"/>
    </row>
    <row r="671" spans="1:30" s="27" customFormat="1" outlineLevel="3" x14ac:dyDescent="0.25">
      <c r="A671" s="1" t="s">
        <v>5</v>
      </c>
      <c r="B671" s="1" t="s">
        <v>5</v>
      </c>
      <c r="C671" s="1" t="s">
        <v>5</v>
      </c>
      <c r="D671" s="1" t="s">
        <v>4</v>
      </c>
      <c r="E671" s="26" t="s">
        <v>423</v>
      </c>
      <c r="F671" s="13"/>
      <c r="G671" s="13"/>
      <c r="U671" s="17" t="s">
        <v>500</v>
      </c>
      <c r="V671" s="18">
        <v>5</v>
      </c>
      <c r="W671" s="47" t="s">
        <v>1019</v>
      </c>
      <c r="X671" s="18"/>
      <c r="Y671" s="21"/>
      <c r="Z671" s="98"/>
      <c r="AA671" s="108">
        <v>0.17</v>
      </c>
      <c r="AB671" s="19">
        <f t="shared" si="0"/>
        <v>0.85000000000000009</v>
      </c>
      <c r="AC671" s="18"/>
      <c r="AD671" s="7"/>
    </row>
    <row r="672" spans="1:30" s="27" customFormat="1" outlineLevel="3" x14ac:dyDescent="0.25">
      <c r="A672" s="1" t="s">
        <v>5</v>
      </c>
      <c r="B672" s="1" t="s">
        <v>5</v>
      </c>
      <c r="C672" s="1" t="s">
        <v>5</v>
      </c>
      <c r="D672" s="1" t="s">
        <v>4</v>
      </c>
      <c r="E672" s="26" t="s">
        <v>424</v>
      </c>
      <c r="F672" s="13"/>
      <c r="G672" s="13"/>
      <c r="U672" s="17" t="s">
        <v>501</v>
      </c>
      <c r="V672" s="18">
        <v>7</v>
      </c>
      <c r="W672" s="47" t="s">
        <v>1019</v>
      </c>
      <c r="X672" s="18"/>
      <c r="Y672" s="21"/>
      <c r="Z672" s="98"/>
      <c r="AA672" s="108">
        <v>0.13</v>
      </c>
      <c r="AB672" s="19">
        <f t="shared" si="0"/>
        <v>0.91</v>
      </c>
      <c r="AC672" s="18"/>
      <c r="AD672" s="7"/>
    </row>
    <row r="673" spans="1:30" s="27" customFormat="1" outlineLevel="3" x14ac:dyDescent="0.25">
      <c r="A673" s="1" t="s">
        <v>5</v>
      </c>
      <c r="B673" s="1" t="s">
        <v>5</v>
      </c>
      <c r="C673" s="1" t="s">
        <v>5</v>
      </c>
      <c r="D673" s="1" t="s">
        <v>4</v>
      </c>
      <c r="E673" s="26" t="s">
        <v>425</v>
      </c>
      <c r="F673" s="13"/>
      <c r="G673" s="13"/>
      <c r="U673" s="17" t="s">
        <v>502</v>
      </c>
      <c r="V673" s="18">
        <v>5</v>
      </c>
      <c r="W673" s="47" t="s">
        <v>1019</v>
      </c>
      <c r="X673" s="18"/>
      <c r="Y673" s="21"/>
      <c r="Z673" s="98"/>
      <c r="AA673" s="108">
        <v>0.16</v>
      </c>
      <c r="AB673" s="19">
        <f t="shared" si="0"/>
        <v>0.8</v>
      </c>
      <c r="AC673" s="18"/>
      <c r="AD673" s="7"/>
    </row>
    <row r="674" spans="1:30" s="27" customFormat="1" outlineLevel="3" x14ac:dyDescent="0.25">
      <c r="A674" s="1" t="s">
        <v>5</v>
      </c>
      <c r="B674" s="1" t="s">
        <v>5</v>
      </c>
      <c r="C674" s="1" t="s">
        <v>5</v>
      </c>
      <c r="D674" s="1" t="s">
        <v>4</v>
      </c>
      <c r="E674" s="26" t="s">
        <v>426</v>
      </c>
      <c r="F674" s="13"/>
      <c r="G674" s="13"/>
      <c r="U674" s="17" t="s">
        <v>503</v>
      </c>
      <c r="V674" s="18">
        <v>2</v>
      </c>
      <c r="W674" s="47" t="s">
        <v>1019</v>
      </c>
      <c r="X674" s="18"/>
      <c r="Y674" s="21"/>
      <c r="Z674" s="98"/>
      <c r="AA674" s="108">
        <v>0.1</v>
      </c>
      <c r="AB674" s="19">
        <f t="shared" si="0"/>
        <v>0.2</v>
      </c>
      <c r="AC674" s="18"/>
      <c r="AD674" s="7"/>
    </row>
    <row r="675" spans="1:30" s="27" customFormat="1" outlineLevel="3" x14ac:dyDescent="0.25">
      <c r="A675" s="1" t="s">
        <v>5</v>
      </c>
      <c r="B675" s="1" t="s">
        <v>5</v>
      </c>
      <c r="C675" s="1" t="s">
        <v>5</v>
      </c>
      <c r="D675" s="1" t="s">
        <v>4</v>
      </c>
      <c r="E675" s="26" t="s">
        <v>427</v>
      </c>
      <c r="F675" s="13"/>
      <c r="G675" s="13"/>
      <c r="U675" s="17" t="s">
        <v>504</v>
      </c>
      <c r="V675" s="18">
        <v>3</v>
      </c>
      <c r="W675" s="47" t="s">
        <v>1019</v>
      </c>
      <c r="X675" s="18"/>
      <c r="Y675" s="21"/>
      <c r="Z675" s="98"/>
      <c r="AA675" s="108">
        <v>0.13</v>
      </c>
      <c r="AB675" s="19">
        <f t="shared" si="0"/>
        <v>0.39</v>
      </c>
      <c r="AC675" s="18"/>
      <c r="AD675" s="7"/>
    </row>
    <row r="676" spans="1:30" s="27" customFormat="1" outlineLevel="3" x14ac:dyDescent="0.25">
      <c r="A676" s="1" t="s">
        <v>5</v>
      </c>
      <c r="B676" s="1" t="s">
        <v>5</v>
      </c>
      <c r="C676" s="1" t="s">
        <v>5</v>
      </c>
      <c r="D676" s="1" t="s">
        <v>4</v>
      </c>
      <c r="E676" s="26" t="s">
        <v>428</v>
      </c>
      <c r="F676" s="13"/>
      <c r="G676" s="13"/>
      <c r="U676" s="17" t="s">
        <v>505</v>
      </c>
      <c r="V676" s="18">
        <v>6</v>
      </c>
      <c r="W676" s="47" t="s">
        <v>1019</v>
      </c>
      <c r="X676" s="18"/>
      <c r="Y676" s="21"/>
      <c r="Z676" s="98"/>
      <c r="AA676" s="108">
        <v>0.15</v>
      </c>
      <c r="AB676" s="19">
        <f t="shared" si="0"/>
        <v>0.89999999999999991</v>
      </c>
      <c r="AC676" s="18"/>
      <c r="AD676" s="7"/>
    </row>
    <row r="677" spans="1:30" s="27" customFormat="1" outlineLevel="3" x14ac:dyDescent="0.25">
      <c r="A677" s="1" t="s">
        <v>5</v>
      </c>
      <c r="B677" s="1" t="s">
        <v>5</v>
      </c>
      <c r="C677" s="1" t="s">
        <v>5</v>
      </c>
      <c r="D677" s="1" t="s">
        <v>4</v>
      </c>
      <c r="E677" s="26" t="s">
        <v>429</v>
      </c>
      <c r="F677" s="13"/>
      <c r="G677" s="13"/>
      <c r="U677" s="17" t="s">
        <v>506</v>
      </c>
      <c r="V677" s="18">
        <v>4</v>
      </c>
      <c r="W677" s="47" t="s">
        <v>1019</v>
      </c>
      <c r="X677" s="18"/>
      <c r="Y677" s="21"/>
      <c r="Z677" s="98"/>
      <c r="AA677" s="108">
        <v>0.12</v>
      </c>
      <c r="AB677" s="19">
        <f t="shared" si="0"/>
        <v>0.48</v>
      </c>
      <c r="AC677" s="18"/>
      <c r="AD677" s="7"/>
    </row>
    <row r="678" spans="1:30" s="27" customFormat="1" outlineLevel="3" x14ac:dyDescent="0.25">
      <c r="A678" s="1" t="s">
        <v>5</v>
      </c>
      <c r="B678" s="1" t="s">
        <v>5</v>
      </c>
      <c r="C678" s="1" t="s">
        <v>5</v>
      </c>
      <c r="D678" s="1" t="s">
        <v>4</v>
      </c>
      <c r="E678" s="26" t="s">
        <v>430</v>
      </c>
      <c r="F678" s="13"/>
      <c r="G678" s="13"/>
      <c r="U678" s="17" t="s">
        <v>507</v>
      </c>
      <c r="V678" s="18">
        <v>3</v>
      </c>
      <c r="W678" s="47" t="s">
        <v>1019</v>
      </c>
      <c r="X678" s="18"/>
      <c r="Y678" s="21"/>
      <c r="Z678" s="98"/>
      <c r="AA678" s="108">
        <v>0.18</v>
      </c>
      <c r="AB678" s="19">
        <f t="shared" si="0"/>
        <v>0.54</v>
      </c>
      <c r="AC678" s="18"/>
      <c r="AD678" s="7"/>
    </row>
    <row r="679" spans="1:30" s="27" customFormat="1" outlineLevel="3" x14ac:dyDescent="0.25">
      <c r="A679" s="1" t="s">
        <v>5</v>
      </c>
      <c r="B679" s="1" t="s">
        <v>5</v>
      </c>
      <c r="C679" s="1" t="s">
        <v>5</v>
      </c>
      <c r="D679" s="1" t="s">
        <v>4</v>
      </c>
      <c r="E679" s="26" t="s">
        <v>431</v>
      </c>
      <c r="F679" s="13"/>
      <c r="G679" s="13"/>
      <c r="U679" s="17" t="s">
        <v>508</v>
      </c>
      <c r="V679" s="18">
        <v>2</v>
      </c>
      <c r="W679" s="47" t="s">
        <v>1019</v>
      </c>
      <c r="X679" s="18"/>
      <c r="Y679" s="21"/>
      <c r="Z679" s="98"/>
      <c r="AA679" s="108">
        <v>0.1</v>
      </c>
      <c r="AB679" s="19">
        <f t="shared" si="0"/>
        <v>0.2</v>
      </c>
      <c r="AC679" s="18"/>
      <c r="AD679" s="7"/>
    </row>
    <row r="680" spans="1:30" s="27" customFormat="1" outlineLevel="3" x14ac:dyDescent="0.25">
      <c r="A680" s="1" t="s">
        <v>5</v>
      </c>
      <c r="B680" s="1" t="s">
        <v>5</v>
      </c>
      <c r="C680" s="1" t="s">
        <v>5</v>
      </c>
      <c r="D680" s="1" t="s">
        <v>4</v>
      </c>
      <c r="E680" s="26" t="s">
        <v>432</v>
      </c>
      <c r="F680" s="13"/>
      <c r="G680" s="13"/>
      <c r="U680" s="17" t="s">
        <v>509</v>
      </c>
      <c r="V680" s="18">
        <v>2</v>
      </c>
      <c r="W680" s="47" t="s">
        <v>1019</v>
      </c>
      <c r="X680" s="18"/>
      <c r="Y680" s="21"/>
      <c r="Z680" s="98"/>
      <c r="AA680" s="108">
        <v>0.1</v>
      </c>
      <c r="AB680" s="19">
        <f t="shared" si="0"/>
        <v>0.2</v>
      </c>
      <c r="AC680" s="18"/>
      <c r="AD680" s="7"/>
    </row>
    <row r="681" spans="1:30" s="27" customFormat="1" outlineLevel="3" x14ac:dyDescent="0.25">
      <c r="A681" s="1" t="s">
        <v>5</v>
      </c>
      <c r="B681" s="1" t="s">
        <v>5</v>
      </c>
      <c r="C681" s="1" t="s">
        <v>5</v>
      </c>
      <c r="D681" s="1" t="s">
        <v>4</v>
      </c>
      <c r="E681" s="26" t="s">
        <v>433</v>
      </c>
      <c r="F681" s="13"/>
      <c r="G681" s="13"/>
      <c r="U681" s="17" t="s">
        <v>510</v>
      </c>
      <c r="V681" s="18">
        <v>1</v>
      </c>
      <c r="W681" s="47" t="s">
        <v>1019</v>
      </c>
      <c r="X681" s="18"/>
      <c r="Y681" s="21"/>
      <c r="Z681" s="98"/>
      <c r="AA681" s="108">
        <v>0.1</v>
      </c>
      <c r="AB681" s="19">
        <f t="shared" si="0"/>
        <v>0.1</v>
      </c>
      <c r="AC681" s="18"/>
      <c r="AD681" s="7"/>
    </row>
    <row r="682" spans="1:30" s="27" customFormat="1" outlineLevel="3" x14ac:dyDescent="0.25">
      <c r="A682" s="1" t="s">
        <v>5</v>
      </c>
      <c r="B682" s="1" t="s">
        <v>5</v>
      </c>
      <c r="C682" s="1" t="s">
        <v>5</v>
      </c>
      <c r="D682" s="1" t="s">
        <v>4</v>
      </c>
      <c r="E682" s="26" t="s">
        <v>434</v>
      </c>
      <c r="F682" s="13"/>
      <c r="G682" s="13"/>
      <c r="U682" s="17" t="s">
        <v>511</v>
      </c>
      <c r="V682" s="18">
        <v>1</v>
      </c>
      <c r="W682" s="47" t="s">
        <v>1019</v>
      </c>
      <c r="X682" s="18"/>
      <c r="Y682" s="21"/>
      <c r="Z682" s="98"/>
      <c r="AA682" s="108">
        <v>0.1</v>
      </c>
      <c r="AB682" s="19">
        <f t="shared" si="0"/>
        <v>0.1</v>
      </c>
      <c r="AC682" s="18"/>
      <c r="AD682" s="7"/>
    </row>
    <row r="683" spans="1:30" s="27" customFormat="1" outlineLevel="3" x14ac:dyDescent="0.25">
      <c r="A683" s="1" t="s">
        <v>5</v>
      </c>
      <c r="B683" s="1" t="s">
        <v>5</v>
      </c>
      <c r="C683" s="1" t="s">
        <v>5</v>
      </c>
      <c r="D683" s="1" t="s">
        <v>4</v>
      </c>
      <c r="E683" s="26" t="s">
        <v>435</v>
      </c>
      <c r="F683" s="13"/>
      <c r="G683" s="13"/>
      <c r="U683" s="17" t="s">
        <v>512</v>
      </c>
      <c r="V683" s="18">
        <v>3</v>
      </c>
      <c r="W683" s="47" t="s">
        <v>1019</v>
      </c>
      <c r="X683" s="18"/>
      <c r="Y683" s="21"/>
      <c r="Z683" s="98"/>
      <c r="AA683" s="108">
        <v>0.1</v>
      </c>
      <c r="AB683" s="19">
        <f t="shared" si="0"/>
        <v>0.30000000000000004</v>
      </c>
      <c r="AC683" s="18"/>
      <c r="AD683" s="7"/>
    </row>
    <row r="684" spans="1:30" s="27" customFormat="1" outlineLevel="3" x14ac:dyDescent="0.25">
      <c r="A684" s="1" t="s">
        <v>5</v>
      </c>
      <c r="B684" s="1" t="s">
        <v>5</v>
      </c>
      <c r="C684" s="1" t="s">
        <v>5</v>
      </c>
      <c r="D684" s="1" t="s">
        <v>4</v>
      </c>
      <c r="E684" s="26" t="s">
        <v>436</v>
      </c>
      <c r="F684" s="13"/>
      <c r="G684" s="13"/>
      <c r="U684" s="17" t="s">
        <v>513</v>
      </c>
      <c r="V684" s="18">
        <v>1</v>
      </c>
      <c r="W684" s="47" t="s">
        <v>1019</v>
      </c>
      <c r="X684" s="18"/>
      <c r="Y684" s="21"/>
      <c r="Z684" s="98"/>
      <c r="AA684" s="108">
        <v>0.12</v>
      </c>
      <c r="AB684" s="19">
        <f t="shared" si="0"/>
        <v>0.12</v>
      </c>
      <c r="AC684" s="18"/>
      <c r="AD684" s="7"/>
    </row>
    <row r="685" spans="1:30" s="27" customFormat="1" outlineLevel="3" x14ac:dyDescent="0.25">
      <c r="A685" s="1" t="s">
        <v>5</v>
      </c>
      <c r="B685" s="1" t="s">
        <v>5</v>
      </c>
      <c r="C685" s="1" t="s">
        <v>5</v>
      </c>
      <c r="D685" s="1" t="s">
        <v>4</v>
      </c>
      <c r="E685" s="26" t="s">
        <v>437</v>
      </c>
      <c r="F685" s="13"/>
      <c r="G685" s="13"/>
      <c r="U685" s="17" t="s">
        <v>514</v>
      </c>
      <c r="V685" s="18">
        <v>1</v>
      </c>
      <c r="W685" s="47" t="s">
        <v>1019</v>
      </c>
      <c r="X685" s="18"/>
      <c r="Y685" s="21"/>
      <c r="Z685" s="98"/>
      <c r="AA685" s="108">
        <v>0.1</v>
      </c>
      <c r="AB685" s="19">
        <f t="shared" si="0"/>
        <v>0.1</v>
      </c>
      <c r="AC685" s="18"/>
      <c r="AD685" s="7"/>
    </row>
    <row r="686" spans="1:30" s="27" customFormat="1" outlineLevel="3" x14ac:dyDescent="0.25">
      <c r="A686" s="1" t="s">
        <v>5</v>
      </c>
      <c r="B686" s="1" t="s">
        <v>5</v>
      </c>
      <c r="C686" s="1" t="s">
        <v>5</v>
      </c>
      <c r="D686" s="1" t="s">
        <v>4</v>
      </c>
      <c r="E686" s="26" t="s">
        <v>438</v>
      </c>
      <c r="F686" s="13"/>
      <c r="G686" s="13"/>
      <c r="U686" s="17" t="s">
        <v>515</v>
      </c>
      <c r="V686" s="18">
        <v>1</v>
      </c>
      <c r="W686" s="47" t="s">
        <v>1019</v>
      </c>
      <c r="X686" s="18"/>
      <c r="Y686" s="21"/>
      <c r="Z686" s="98"/>
      <c r="AA686" s="108">
        <v>0.12</v>
      </c>
      <c r="AB686" s="19">
        <f t="shared" si="0"/>
        <v>0.12</v>
      </c>
      <c r="AC686" s="18"/>
      <c r="AD686" s="7"/>
    </row>
    <row r="687" spans="1:30" s="27" customFormat="1" outlineLevel="3" x14ac:dyDescent="0.25">
      <c r="A687" s="1" t="s">
        <v>5</v>
      </c>
      <c r="B687" s="1" t="s">
        <v>5</v>
      </c>
      <c r="C687" s="1" t="s">
        <v>5</v>
      </c>
      <c r="D687" s="1" t="s">
        <v>4</v>
      </c>
      <c r="E687" s="26" t="s">
        <v>439</v>
      </c>
      <c r="F687" s="13"/>
      <c r="G687" s="13"/>
      <c r="U687" s="17" t="s">
        <v>516</v>
      </c>
      <c r="V687" s="18">
        <v>2</v>
      </c>
      <c r="W687" s="47" t="s">
        <v>1019</v>
      </c>
      <c r="X687" s="18"/>
      <c r="Y687" s="21"/>
      <c r="Z687" s="98"/>
      <c r="AA687" s="108">
        <v>0.09</v>
      </c>
      <c r="AB687" s="19">
        <f t="shared" si="0"/>
        <v>0.18</v>
      </c>
      <c r="AC687" s="18"/>
      <c r="AD687" s="7"/>
    </row>
    <row r="688" spans="1:30" s="27" customFormat="1" outlineLevel="3" x14ac:dyDescent="0.25">
      <c r="A688" s="1" t="s">
        <v>5</v>
      </c>
      <c r="B688" s="1" t="s">
        <v>5</v>
      </c>
      <c r="C688" s="1" t="s">
        <v>5</v>
      </c>
      <c r="D688" s="1" t="s">
        <v>4</v>
      </c>
      <c r="E688" s="26" t="s">
        <v>440</v>
      </c>
      <c r="F688" s="13"/>
      <c r="G688" s="13"/>
      <c r="U688" s="17" t="s">
        <v>517</v>
      </c>
      <c r="V688" s="18">
        <v>2</v>
      </c>
      <c r="W688" s="47" t="s">
        <v>1019</v>
      </c>
      <c r="X688" s="18"/>
      <c r="Y688" s="21"/>
      <c r="Z688" s="98"/>
      <c r="AA688" s="108">
        <v>0.1</v>
      </c>
      <c r="AB688" s="19">
        <f t="shared" si="0"/>
        <v>0.2</v>
      </c>
      <c r="AC688" s="18"/>
      <c r="AD688" s="7"/>
    </row>
    <row r="689" spans="1:30" s="27" customFormat="1" outlineLevel="3" x14ac:dyDescent="0.25">
      <c r="A689" s="1" t="s">
        <v>5</v>
      </c>
      <c r="B689" s="1" t="s">
        <v>5</v>
      </c>
      <c r="C689" s="1" t="s">
        <v>5</v>
      </c>
      <c r="D689" s="1" t="s">
        <v>4</v>
      </c>
      <c r="E689" s="26" t="s">
        <v>441</v>
      </c>
      <c r="F689" s="13"/>
      <c r="G689" s="13"/>
      <c r="U689" s="17" t="s">
        <v>518</v>
      </c>
      <c r="V689" s="18">
        <v>1</v>
      </c>
      <c r="W689" s="47" t="s">
        <v>1019</v>
      </c>
      <c r="X689" s="18"/>
      <c r="Y689" s="21"/>
      <c r="Z689" s="98"/>
      <c r="AA689" s="108">
        <v>0.1</v>
      </c>
      <c r="AB689" s="19">
        <f t="shared" si="0"/>
        <v>0.1</v>
      </c>
      <c r="AC689" s="18"/>
      <c r="AD689" s="7"/>
    </row>
    <row r="690" spans="1:30" s="27" customFormat="1" outlineLevel="3" x14ac:dyDescent="0.25">
      <c r="A690" s="1" t="s">
        <v>5</v>
      </c>
      <c r="B690" s="1" t="s">
        <v>5</v>
      </c>
      <c r="C690" s="1" t="s">
        <v>5</v>
      </c>
      <c r="D690" s="1" t="s">
        <v>4</v>
      </c>
      <c r="E690" s="26" t="s">
        <v>442</v>
      </c>
      <c r="F690" s="13"/>
      <c r="G690" s="13"/>
      <c r="U690" s="17" t="s">
        <v>519</v>
      </c>
      <c r="V690" s="18">
        <v>2</v>
      </c>
      <c r="W690" s="47" t="s">
        <v>1019</v>
      </c>
      <c r="X690" s="18"/>
      <c r="Y690" s="21"/>
      <c r="Z690" s="98"/>
      <c r="AA690" s="108">
        <v>0.17</v>
      </c>
      <c r="AB690" s="19">
        <f t="shared" ref="AB690:AB702" si="1">AA690*V690</f>
        <v>0.34</v>
      </c>
      <c r="AC690" s="18"/>
      <c r="AD690" s="7"/>
    </row>
    <row r="691" spans="1:30" s="27" customFormat="1" outlineLevel="3" x14ac:dyDescent="0.25">
      <c r="A691" s="1" t="s">
        <v>5</v>
      </c>
      <c r="B691" s="1" t="s">
        <v>5</v>
      </c>
      <c r="C691" s="1" t="s">
        <v>5</v>
      </c>
      <c r="D691" s="1" t="s">
        <v>4</v>
      </c>
      <c r="E691" s="26" t="s">
        <v>443</v>
      </c>
      <c r="F691" s="13"/>
      <c r="G691" s="13"/>
      <c r="U691" s="17" t="s">
        <v>520</v>
      </c>
      <c r="V691" s="18">
        <v>2</v>
      </c>
      <c r="W691" s="47" t="s">
        <v>1019</v>
      </c>
      <c r="X691" s="18"/>
      <c r="Y691" s="21"/>
      <c r="Z691" s="98"/>
      <c r="AA691" s="108">
        <v>243</v>
      </c>
      <c r="AB691" s="19">
        <f t="shared" si="1"/>
        <v>486</v>
      </c>
      <c r="AC691" s="18"/>
      <c r="AD691" s="7"/>
    </row>
    <row r="692" spans="1:30" s="27" customFormat="1" outlineLevel="3" x14ac:dyDescent="0.25">
      <c r="A692" s="1" t="s">
        <v>5</v>
      </c>
      <c r="B692" s="1" t="s">
        <v>5</v>
      </c>
      <c r="C692" s="1" t="s">
        <v>5</v>
      </c>
      <c r="D692" s="1" t="s">
        <v>4</v>
      </c>
      <c r="E692" s="26" t="s">
        <v>444</v>
      </c>
      <c r="F692" s="13"/>
      <c r="G692" s="13"/>
      <c r="U692" s="17" t="s">
        <v>521</v>
      </c>
      <c r="V692" s="18">
        <v>4</v>
      </c>
      <c r="W692" s="47" t="s">
        <v>1019</v>
      </c>
      <c r="X692" s="18"/>
      <c r="Y692" s="21"/>
      <c r="Z692" s="98"/>
      <c r="AA692" s="108">
        <v>33.4</v>
      </c>
      <c r="AB692" s="19">
        <f t="shared" si="1"/>
        <v>133.6</v>
      </c>
      <c r="AC692" s="18"/>
      <c r="AD692" s="7"/>
    </row>
    <row r="693" spans="1:30" s="27" customFormat="1" outlineLevel="3" x14ac:dyDescent="0.25">
      <c r="A693" s="1" t="s">
        <v>5</v>
      </c>
      <c r="B693" s="1" t="s">
        <v>5</v>
      </c>
      <c r="C693" s="1" t="s">
        <v>5</v>
      </c>
      <c r="D693" s="1" t="s">
        <v>4</v>
      </c>
      <c r="E693" s="26" t="s">
        <v>445</v>
      </c>
      <c r="F693" s="13"/>
      <c r="G693" s="13"/>
      <c r="U693" s="17" t="s">
        <v>522</v>
      </c>
      <c r="V693" s="18">
        <v>1</v>
      </c>
      <c r="W693" s="47" t="s">
        <v>1019</v>
      </c>
      <c r="X693" s="18"/>
      <c r="Y693" s="21"/>
      <c r="Z693" s="98"/>
      <c r="AA693" s="108">
        <v>47.2</v>
      </c>
      <c r="AB693" s="19">
        <f t="shared" si="1"/>
        <v>47.2</v>
      </c>
      <c r="AC693" s="18"/>
      <c r="AD693" s="7"/>
    </row>
    <row r="694" spans="1:30" s="27" customFormat="1" outlineLevel="3" x14ac:dyDescent="0.25">
      <c r="A694" s="1" t="s">
        <v>5</v>
      </c>
      <c r="B694" s="1" t="s">
        <v>5</v>
      </c>
      <c r="C694" s="1" t="s">
        <v>5</v>
      </c>
      <c r="D694" s="1" t="s">
        <v>4</v>
      </c>
      <c r="E694" s="26" t="s">
        <v>446</v>
      </c>
      <c r="F694" s="13"/>
      <c r="G694" s="13"/>
      <c r="U694" s="17" t="s">
        <v>523</v>
      </c>
      <c r="V694" s="18">
        <v>2</v>
      </c>
      <c r="W694" s="47" t="s">
        <v>1019</v>
      </c>
      <c r="X694" s="18"/>
      <c r="Y694" s="21"/>
      <c r="Z694" s="98"/>
      <c r="AA694" s="108">
        <v>82.1</v>
      </c>
      <c r="AB694" s="19">
        <f t="shared" si="1"/>
        <v>164.2</v>
      </c>
      <c r="AC694" s="18"/>
      <c r="AD694" s="7"/>
    </row>
    <row r="695" spans="1:30" s="27" customFormat="1" outlineLevel="3" x14ac:dyDescent="0.25">
      <c r="A695" s="1" t="s">
        <v>5</v>
      </c>
      <c r="B695" s="1" t="s">
        <v>5</v>
      </c>
      <c r="C695" s="1" t="s">
        <v>5</v>
      </c>
      <c r="D695" s="1" t="s">
        <v>4</v>
      </c>
      <c r="E695" s="26" t="s">
        <v>447</v>
      </c>
      <c r="F695" s="13"/>
      <c r="G695" s="13"/>
      <c r="U695" s="17" t="s">
        <v>524</v>
      </c>
      <c r="V695" s="18">
        <v>1</v>
      </c>
      <c r="W695" s="47" t="s">
        <v>1019</v>
      </c>
      <c r="X695" s="18"/>
      <c r="Y695" s="21"/>
      <c r="Z695" s="98"/>
      <c r="AA695" s="108">
        <v>78.5</v>
      </c>
      <c r="AB695" s="19">
        <f t="shared" si="1"/>
        <v>78.5</v>
      </c>
      <c r="AC695" s="18"/>
      <c r="AD695" s="7"/>
    </row>
    <row r="696" spans="1:30" s="27" customFormat="1" outlineLevel="3" x14ac:dyDescent="0.25">
      <c r="A696" s="1" t="s">
        <v>5</v>
      </c>
      <c r="B696" s="1" t="s">
        <v>5</v>
      </c>
      <c r="C696" s="1" t="s">
        <v>5</v>
      </c>
      <c r="D696" s="1" t="s">
        <v>4</v>
      </c>
      <c r="E696" s="26" t="s">
        <v>448</v>
      </c>
      <c r="F696" s="13"/>
      <c r="G696" s="13"/>
      <c r="U696" s="17" t="s">
        <v>525</v>
      </c>
      <c r="V696" s="18">
        <v>1</v>
      </c>
      <c r="W696" s="47" t="s">
        <v>1019</v>
      </c>
      <c r="X696" s="18"/>
      <c r="Y696" s="21"/>
      <c r="Z696" s="98"/>
      <c r="AA696" s="108">
        <v>161</v>
      </c>
      <c r="AB696" s="19">
        <f t="shared" si="1"/>
        <v>161</v>
      </c>
      <c r="AC696" s="18"/>
      <c r="AD696" s="7"/>
    </row>
    <row r="697" spans="1:30" s="27" customFormat="1" outlineLevel="3" x14ac:dyDescent="0.25">
      <c r="A697" s="1" t="s">
        <v>5</v>
      </c>
      <c r="B697" s="1" t="s">
        <v>5</v>
      </c>
      <c r="C697" s="1" t="s">
        <v>5</v>
      </c>
      <c r="D697" s="1" t="s">
        <v>4</v>
      </c>
      <c r="E697" s="26" t="s">
        <v>449</v>
      </c>
      <c r="F697" s="13"/>
      <c r="G697" s="13"/>
      <c r="U697" s="17" t="s">
        <v>526</v>
      </c>
      <c r="V697" s="18">
        <v>1</v>
      </c>
      <c r="W697" s="47" t="s">
        <v>1019</v>
      </c>
      <c r="X697" s="18"/>
      <c r="Y697" s="21"/>
      <c r="Z697" s="98"/>
      <c r="AA697" s="108">
        <v>94.1</v>
      </c>
      <c r="AB697" s="19">
        <f t="shared" si="1"/>
        <v>94.1</v>
      </c>
      <c r="AC697" s="18"/>
      <c r="AD697" s="7"/>
    </row>
    <row r="698" spans="1:30" s="27" customFormat="1" outlineLevel="3" x14ac:dyDescent="0.25">
      <c r="A698" s="1" t="s">
        <v>5</v>
      </c>
      <c r="B698" s="1" t="s">
        <v>5</v>
      </c>
      <c r="C698" s="1" t="s">
        <v>5</v>
      </c>
      <c r="D698" s="1" t="s">
        <v>4</v>
      </c>
      <c r="E698" s="26" t="s">
        <v>450</v>
      </c>
      <c r="F698" s="13"/>
      <c r="G698" s="13"/>
      <c r="U698" s="17" t="s">
        <v>527</v>
      </c>
      <c r="V698" s="18">
        <v>1</v>
      </c>
      <c r="W698" s="47" t="s">
        <v>1019</v>
      </c>
      <c r="X698" s="18"/>
      <c r="Y698" s="21"/>
      <c r="Z698" s="98"/>
      <c r="AA698" s="108">
        <v>65.7</v>
      </c>
      <c r="AB698" s="19">
        <f t="shared" si="1"/>
        <v>65.7</v>
      </c>
      <c r="AC698" s="18"/>
      <c r="AD698" s="7"/>
    </row>
    <row r="699" spans="1:30" s="27" customFormat="1" outlineLevel="3" x14ac:dyDescent="0.25">
      <c r="A699" s="1" t="s">
        <v>5</v>
      </c>
      <c r="B699" s="1" t="s">
        <v>5</v>
      </c>
      <c r="C699" s="1" t="s">
        <v>5</v>
      </c>
      <c r="D699" s="1" t="s">
        <v>4</v>
      </c>
      <c r="E699" s="26" t="s">
        <v>451</v>
      </c>
      <c r="F699" s="13"/>
      <c r="G699" s="13"/>
      <c r="U699" s="17" t="s">
        <v>528</v>
      </c>
      <c r="V699" s="18">
        <v>1</v>
      </c>
      <c r="W699" s="47" t="s">
        <v>1019</v>
      </c>
      <c r="X699" s="18"/>
      <c r="Y699" s="21"/>
      <c r="Z699" s="98"/>
      <c r="AA699" s="108">
        <v>40.200000000000003</v>
      </c>
      <c r="AB699" s="19">
        <f t="shared" si="1"/>
        <v>40.200000000000003</v>
      </c>
      <c r="AC699" s="18"/>
      <c r="AD699" s="7"/>
    </row>
    <row r="700" spans="1:30" s="27" customFormat="1" outlineLevel="3" x14ac:dyDescent="0.25">
      <c r="A700" s="1" t="s">
        <v>5</v>
      </c>
      <c r="B700" s="1" t="s">
        <v>5</v>
      </c>
      <c r="C700" s="1" t="s">
        <v>5</v>
      </c>
      <c r="D700" s="1" t="s">
        <v>4</v>
      </c>
      <c r="E700" s="26" t="s">
        <v>452</v>
      </c>
      <c r="F700" s="13"/>
      <c r="G700" s="13"/>
      <c r="U700" s="17" t="s">
        <v>529</v>
      </c>
      <c r="V700" s="18">
        <v>1</v>
      </c>
      <c r="W700" s="47" t="s">
        <v>1019</v>
      </c>
      <c r="X700" s="18"/>
      <c r="Y700" s="21"/>
      <c r="Z700" s="98"/>
      <c r="AA700" s="108">
        <v>73.400000000000006</v>
      </c>
      <c r="AB700" s="19">
        <f t="shared" si="1"/>
        <v>73.400000000000006</v>
      </c>
      <c r="AC700" s="18"/>
      <c r="AD700" s="7"/>
    </row>
    <row r="701" spans="1:30" s="27" customFormat="1" outlineLevel="3" x14ac:dyDescent="0.25">
      <c r="A701" s="1" t="s">
        <v>5</v>
      </c>
      <c r="B701" s="1" t="s">
        <v>5</v>
      </c>
      <c r="C701" s="1" t="s">
        <v>5</v>
      </c>
      <c r="D701" s="1" t="s">
        <v>4</v>
      </c>
      <c r="E701" s="26" t="s">
        <v>453</v>
      </c>
      <c r="F701" s="13"/>
      <c r="G701" s="13"/>
      <c r="U701" s="17" t="s">
        <v>530</v>
      </c>
      <c r="V701" s="18">
        <v>1</v>
      </c>
      <c r="W701" s="47" t="s">
        <v>1019</v>
      </c>
      <c r="X701" s="18"/>
      <c r="Y701" s="21"/>
      <c r="Z701" s="98"/>
      <c r="AA701" s="108">
        <v>48.8</v>
      </c>
      <c r="AB701" s="19">
        <f t="shared" si="1"/>
        <v>48.8</v>
      </c>
      <c r="AC701" s="18"/>
      <c r="AD701" s="7"/>
    </row>
    <row r="702" spans="1:30" s="27" customFormat="1" outlineLevel="3" x14ac:dyDescent="0.25">
      <c r="A702" s="1" t="s">
        <v>5</v>
      </c>
      <c r="B702" s="1" t="s">
        <v>5</v>
      </c>
      <c r="C702" s="1" t="s">
        <v>5</v>
      </c>
      <c r="D702" s="1" t="s">
        <v>49</v>
      </c>
      <c r="E702" s="26" t="s">
        <v>454</v>
      </c>
      <c r="F702" s="13"/>
      <c r="G702" s="13"/>
      <c r="U702" s="17" t="s">
        <v>531</v>
      </c>
      <c r="V702" s="18">
        <v>1</v>
      </c>
      <c r="W702" s="47" t="s">
        <v>1019</v>
      </c>
      <c r="X702" s="18"/>
      <c r="Y702" s="21"/>
      <c r="Z702" s="98"/>
      <c r="AA702" s="108">
        <v>183</v>
      </c>
      <c r="AB702" s="19">
        <f t="shared" si="1"/>
        <v>183</v>
      </c>
      <c r="AC702" s="18"/>
      <c r="AD702" s="7"/>
    </row>
    <row r="703" spans="1:30" s="27" customFormat="1" outlineLevel="2" x14ac:dyDescent="0.25">
      <c r="A703" s="1" t="s">
        <v>5</v>
      </c>
      <c r="B703" s="1" t="s">
        <v>5</v>
      </c>
      <c r="C703" s="1" t="s">
        <v>4</v>
      </c>
      <c r="D703" s="3" t="s">
        <v>1012</v>
      </c>
      <c r="E703" s="26"/>
      <c r="F703" s="13"/>
      <c r="G703" s="13"/>
      <c r="U703" s="17" t="s">
        <v>2282</v>
      </c>
      <c r="V703" s="18">
        <v>1</v>
      </c>
      <c r="W703" s="47" t="s">
        <v>1019</v>
      </c>
      <c r="X703" s="18"/>
      <c r="Y703" s="21"/>
      <c r="Z703" s="98"/>
      <c r="AA703" s="19"/>
      <c r="AB703" s="19">
        <f>SUM(AB704:AB706)</f>
        <v>934</v>
      </c>
      <c r="AC703" s="18"/>
      <c r="AD703" s="7"/>
    </row>
    <row r="704" spans="1:30" s="27" customFormat="1" outlineLevel="3" x14ac:dyDescent="0.25">
      <c r="A704" s="1" t="s">
        <v>5</v>
      </c>
      <c r="B704" s="1" t="s">
        <v>5</v>
      </c>
      <c r="C704" s="1" t="s">
        <v>4</v>
      </c>
      <c r="D704" s="1" t="s">
        <v>4</v>
      </c>
      <c r="E704" s="13" t="s">
        <v>104</v>
      </c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7"/>
      <c r="U704" s="17" t="s">
        <v>105</v>
      </c>
      <c r="V704" s="18">
        <v>1</v>
      </c>
      <c r="W704" s="47" t="s">
        <v>1019</v>
      </c>
      <c r="X704" s="18" t="s">
        <v>106</v>
      </c>
      <c r="Y704" s="21" t="s">
        <v>107</v>
      </c>
      <c r="Z704" s="98"/>
      <c r="AA704" s="19">
        <v>841</v>
      </c>
      <c r="AB704" s="19">
        <f>AA704*V704</f>
        <v>841</v>
      </c>
      <c r="AC704" s="18"/>
      <c r="AD704" s="7"/>
    </row>
    <row r="705" spans="1:29" s="7" customFormat="1" outlineLevel="3" x14ac:dyDescent="0.25">
      <c r="A705" s="50" t="s">
        <v>5</v>
      </c>
      <c r="B705" s="50" t="s">
        <v>5</v>
      </c>
      <c r="C705" s="50" t="s">
        <v>4</v>
      </c>
      <c r="D705" s="50" t="s">
        <v>4</v>
      </c>
      <c r="E705" s="52" t="s">
        <v>998</v>
      </c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8"/>
      <c r="U705" s="53" t="s">
        <v>992</v>
      </c>
      <c r="V705" s="54">
        <v>1</v>
      </c>
      <c r="W705" s="55" t="s">
        <v>1019</v>
      </c>
      <c r="X705" s="54"/>
      <c r="Y705" s="59" t="s">
        <v>995</v>
      </c>
      <c r="Z705" s="100"/>
      <c r="AA705" s="56">
        <v>24</v>
      </c>
      <c r="AB705" s="56">
        <f>AA705*V705</f>
        <v>24</v>
      </c>
      <c r="AC705" s="54"/>
    </row>
    <row r="706" spans="1:29" s="7" customFormat="1" outlineLevel="3" x14ac:dyDescent="0.25">
      <c r="A706" s="50" t="s">
        <v>5</v>
      </c>
      <c r="B706" s="50" t="s">
        <v>5</v>
      </c>
      <c r="C706" s="50" t="s">
        <v>4</v>
      </c>
      <c r="D706" s="50" t="s">
        <v>49</v>
      </c>
      <c r="E706" s="52" t="s">
        <v>988</v>
      </c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8"/>
      <c r="U706" s="53" t="s">
        <v>989</v>
      </c>
      <c r="V706" s="54">
        <v>3</v>
      </c>
      <c r="W706" s="55" t="s">
        <v>1019</v>
      </c>
      <c r="X706" s="54"/>
      <c r="Y706" s="70" t="s">
        <v>990</v>
      </c>
      <c r="Z706" s="100"/>
      <c r="AA706" s="56">
        <v>23</v>
      </c>
      <c r="AB706" s="56">
        <f>AA706*V706</f>
        <v>69</v>
      </c>
      <c r="AC706" s="54"/>
    </row>
    <row r="707" spans="1:29" s="7" customFormat="1" outlineLevel="2" x14ac:dyDescent="0.25">
      <c r="A707" s="1" t="s">
        <v>5</v>
      </c>
      <c r="B707" s="1" t="s">
        <v>5</v>
      </c>
      <c r="C707" s="1" t="s">
        <v>4</v>
      </c>
      <c r="D707" s="3" t="s">
        <v>1014</v>
      </c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U707" s="17" t="s">
        <v>2283</v>
      </c>
      <c r="V707" s="18">
        <v>1</v>
      </c>
      <c r="W707" s="47" t="s">
        <v>1019</v>
      </c>
      <c r="X707" s="18"/>
      <c r="Y707" s="28"/>
      <c r="Z707" s="98"/>
      <c r="AA707" s="19"/>
      <c r="AB707" s="19">
        <f>SUM(AB708:AB710)</f>
        <v>2364</v>
      </c>
      <c r="AC707" s="18"/>
    </row>
    <row r="708" spans="1:29" s="7" customFormat="1" outlineLevel="3" x14ac:dyDescent="0.25">
      <c r="A708" s="1" t="s">
        <v>5</v>
      </c>
      <c r="B708" s="1" t="s">
        <v>5</v>
      </c>
      <c r="C708" s="1" t="s">
        <v>5</v>
      </c>
      <c r="D708" s="1" t="s">
        <v>4</v>
      </c>
      <c r="E708" s="13" t="s">
        <v>88</v>
      </c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U708" s="30" t="s">
        <v>168</v>
      </c>
      <c r="V708" s="18">
        <v>1</v>
      </c>
      <c r="W708" s="47" t="s">
        <v>1019</v>
      </c>
      <c r="X708" s="31" t="s">
        <v>170</v>
      </c>
      <c r="Y708" s="32" t="s">
        <v>172</v>
      </c>
      <c r="Z708" s="98"/>
      <c r="AA708" s="19">
        <v>2219</v>
      </c>
      <c r="AB708" s="19">
        <f>AA708*V708</f>
        <v>2219</v>
      </c>
      <c r="AC708" s="18"/>
    </row>
    <row r="709" spans="1:29" s="7" customFormat="1" outlineLevel="3" x14ac:dyDescent="0.25">
      <c r="A709" s="50" t="s">
        <v>5</v>
      </c>
      <c r="B709" s="50" t="s">
        <v>5</v>
      </c>
      <c r="C709" s="50" t="s">
        <v>5</v>
      </c>
      <c r="D709" s="50" t="s">
        <v>4</v>
      </c>
      <c r="E709" s="52" t="s">
        <v>999</v>
      </c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8"/>
      <c r="U709" s="53" t="s">
        <v>993</v>
      </c>
      <c r="V709" s="54">
        <v>1</v>
      </c>
      <c r="W709" s="55" t="s">
        <v>1019</v>
      </c>
      <c r="X709" s="54"/>
      <c r="Y709" s="59" t="s">
        <v>996</v>
      </c>
      <c r="Z709" s="100"/>
      <c r="AA709" s="56">
        <v>30</v>
      </c>
      <c r="AB709" s="56">
        <f>AA709*V709</f>
        <v>30</v>
      </c>
      <c r="AC709" s="54"/>
    </row>
    <row r="710" spans="1:29" s="7" customFormat="1" outlineLevel="3" x14ac:dyDescent="0.25">
      <c r="A710" s="50" t="s">
        <v>5</v>
      </c>
      <c r="B710" s="50" t="s">
        <v>5</v>
      </c>
      <c r="C710" s="50" t="s">
        <v>4</v>
      </c>
      <c r="D710" s="50" t="s">
        <v>49</v>
      </c>
      <c r="E710" s="52" t="s">
        <v>988</v>
      </c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8"/>
      <c r="U710" s="53" t="s">
        <v>989</v>
      </c>
      <c r="V710" s="54">
        <v>5</v>
      </c>
      <c r="W710" s="55" t="s">
        <v>1019</v>
      </c>
      <c r="X710" s="54"/>
      <c r="Y710" s="70" t="s">
        <v>990</v>
      </c>
      <c r="Z710" s="100"/>
      <c r="AA710" s="56">
        <v>23</v>
      </c>
      <c r="AB710" s="56">
        <f>AA710*V710</f>
        <v>115</v>
      </c>
      <c r="AC710" s="54"/>
    </row>
    <row r="711" spans="1:29" s="7" customFormat="1" outlineLevel="2" x14ac:dyDescent="0.25">
      <c r="A711" s="1" t="s">
        <v>5</v>
      </c>
      <c r="B711" s="1" t="s">
        <v>5</v>
      </c>
      <c r="C711" s="1" t="s">
        <v>4</v>
      </c>
      <c r="D711" s="13" t="s">
        <v>1015</v>
      </c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U711" s="17" t="s">
        <v>2284</v>
      </c>
      <c r="V711" s="18">
        <v>1</v>
      </c>
      <c r="W711" s="47" t="s">
        <v>1019</v>
      </c>
      <c r="X711" s="18"/>
      <c r="Y711" s="21"/>
      <c r="Z711" s="98"/>
      <c r="AA711" s="19">
        <v>500</v>
      </c>
      <c r="AB711" s="19">
        <f>AA711*V711</f>
        <v>500</v>
      </c>
      <c r="AC711" s="18"/>
    </row>
    <row r="712" spans="1:29" s="7" customFormat="1" outlineLevel="2" x14ac:dyDescent="0.25">
      <c r="A712" s="1" t="s">
        <v>5</v>
      </c>
      <c r="B712" s="1" t="s">
        <v>5</v>
      </c>
      <c r="C712" s="1" t="s">
        <v>4</v>
      </c>
      <c r="D712" s="5" t="s">
        <v>1016</v>
      </c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U712" s="17" t="s">
        <v>2285</v>
      </c>
      <c r="V712" s="18">
        <v>1</v>
      </c>
      <c r="W712" s="47" t="s">
        <v>1019</v>
      </c>
      <c r="X712" s="18"/>
      <c r="Y712" s="21"/>
      <c r="Z712" s="98"/>
      <c r="AA712" s="19"/>
      <c r="AB712" s="19">
        <f>SUM(AB713:AB718)</f>
        <v>734.96600000000001</v>
      </c>
      <c r="AC712" s="18"/>
    </row>
    <row r="713" spans="1:29" s="7" customFormat="1" outlineLevel="3" x14ac:dyDescent="0.25">
      <c r="A713" s="1" t="s">
        <v>5</v>
      </c>
      <c r="B713" s="1" t="s">
        <v>5</v>
      </c>
      <c r="C713" s="1" t="s">
        <v>4</v>
      </c>
      <c r="D713" s="1" t="s">
        <v>4</v>
      </c>
      <c r="E713" s="13" t="s">
        <v>108</v>
      </c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U713" s="17" t="s">
        <v>926</v>
      </c>
      <c r="V713" s="18">
        <v>1</v>
      </c>
      <c r="W713" s="47" t="s">
        <v>1019</v>
      </c>
      <c r="X713" s="18"/>
      <c r="Y713" s="40" t="s">
        <v>927</v>
      </c>
      <c r="Z713" s="98"/>
      <c r="AA713" s="19">
        <v>668</v>
      </c>
      <c r="AB713" s="19">
        <f t="shared" ref="AB713:AB718" si="2">AA713*V713</f>
        <v>668</v>
      </c>
      <c r="AC713" s="17"/>
    </row>
    <row r="714" spans="1:29" s="7" customFormat="1" outlineLevel="3" x14ac:dyDescent="0.25">
      <c r="A714" s="50" t="s">
        <v>5</v>
      </c>
      <c r="B714" s="50" t="s">
        <v>5</v>
      </c>
      <c r="C714" s="50" t="s">
        <v>4</v>
      </c>
      <c r="D714" s="50" t="s">
        <v>4</v>
      </c>
      <c r="E714" s="52" t="s">
        <v>997</v>
      </c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8"/>
      <c r="U714" s="53" t="s">
        <v>991</v>
      </c>
      <c r="V714" s="54">
        <v>1</v>
      </c>
      <c r="W714" s="55" t="s">
        <v>1019</v>
      </c>
      <c r="X714" s="54"/>
      <c r="Y714" s="59" t="s">
        <v>994</v>
      </c>
      <c r="Z714" s="100"/>
      <c r="AA714" s="56">
        <v>19</v>
      </c>
      <c r="AB714" s="56">
        <f t="shared" si="2"/>
        <v>19</v>
      </c>
      <c r="AC714" s="54"/>
    </row>
    <row r="715" spans="1:29" s="7" customFormat="1" outlineLevel="3" x14ac:dyDescent="0.25">
      <c r="A715" s="50" t="s">
        <v>5</v>
      </c>
      <c r="B715" s="50" t="s">
        <v>5</v>
      </c>
      <c r="C715" s="50" t="s">
        <v>4</v>
      </c>
      <c r="D715" s="50" t="s">
        <v>4</v>
      </c>
      <c r="E715" s="52" t="s">
        <v>988</v>
      </c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8"/>
      <c r="U715" s="53" t="s">
        <v>989</v>
      </c>
      <c r="V715" s="54">
        <v>2</v>
      </c>
      <c r="W715" s="55" t="s">
        <v>1019</v>
      </c>
      <c r="X715" s="54"/>
      <c r="Y715" s="70" t="s">
        <v>990</v>
      </c>
      <c r="Z715" s="100"/>
      <c r="AA715" s="56">
        <v>23</v>
      </c>
      <c r="AB715" s="56">
        <f t="shared" si="2"/>
        <v>46</v>
      </c>
      <c r="AC715" s="54"/>
    </row>
    <row r="716" spans="1:29" s="7" customFormat="1" outlineLevel="3" x14ac:dyDescent="0.25">
      <c r="A716" s="1" t="s">
        <v>5</v>
      </c>
      <c r="B716" s="1" t="s">
        <v>5</v>
      </c>
      <c r="C716" s="1" t="s">
        <v>4</v>
      </c>
      <c r="D716" s="1" t="s">
        <v>4</v>
      </c>
      <c r="E716" s="13" t="s">
        <v>1918</v>
      </c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U716" s="17"/>
      <c r="V716" s="18">
        <v>0.17</v>
      </c>
      <c r="W716" s="47" t="s">
        <v>1018</v>
      </c>
      <c r="X716" s="18"/>
      <c r="Y716" s="18"/>
      <c r="Z716" s="98"/>
      <c r="AA716" s="19">
        <v>3.9</v>
      </c>
      <c r="AB716" s="19">
        <f t="shared" si="2"/>
        <v>0.66300000000000003</v>
      </c>
      <c r="AC716" s="18"/>
    </row>
    <row r="717" spans="1:29" s="7" customFormat="1" outlineLevel="3" x14ac:dyDescent="0.25">
      <c r="A717" s="1" t="s">
        <v>5</v>
      </c>
      <c r="B717" s="1" t="s">
        <v>5</v>
      </c>
      <c r="C717" s="1" t="s">
        <v>4</v>
      </c>
      <c r="D717" s="1" t="s">
        <v>4</v>
      </c>
      <c r="E717" s="13" t="s">
        <v>1917</v>
      </c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U717" s="17"/>
      <c r="V717" s="18">
        <v>0.17</v>
      </c>
      <c r="W717" s="47" t="s">
        <v>1018</v>
      </c>
      <c r="X717" s="18"/>
      <c r="Y717" s="18"/>
      <c r="Z717" s="98"/>
      <c r="AA717" s="19">
        <v>3.9</v>
      </c>
      <c r="AB717" s="19">
        <f t="shared" si="2"/>
        <v>0.66300000000000003</v>
      </c>
      <c r="AC717" s="18"/>
    </row>
    <row r="718" spans="1:29" s="7" customFormat="1" outlineLevel="3" x14ac:dyDescent="0.25">
      <c r="A718" s="1" t="s">
        <v>5</v>
      </c>
      <c r="B718" s="1" t="s">
        <v>5</v>
      </c>
      <c r="C718" s="1" t="s">
        <v>4</v>
      </c>
      <c r="D718" s="1" t="s">
        <v>49</v>
      </c>
      <c r="E718" s="13" t="s">
        <v>1923</v>
      </c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U718" s="17"/>
      <c r="V718" s="18">
        <v>0.16</v>
      </c>
      <c r="W718" s="47" t="s">
        <v>1018</v>
      </c>
      <c r="X718" s="18"/>
      <c r="Y718" s="18"/>
      <c r="Z718" s="98"/>
      <c r="AA718" s="19">
        <v>4</v>
      </c>
      <c r="AB718" s="19">
        <f t="shared" si="2"/>
        <v>0.64</v>
      </c>
      <c r="AC718" s="18"/>
    </row>
    <row r="719" spans="1:29" s="7" customFormat="1" outlineLevel="2" x14ac:dyDescent="0.25">
      <c r="A719" s="1" t="s">
        <v>5</v>
      </c>
      <c r="B719" s="1" t="s">
        <v>5</v>
      </c>
      <c r="C719" s="1" t="s">
        <v>4</v>
      </c>
      <c r="D719" s="5" t="s">
        <v>1020</v>
      </c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U719" s="17" t="s">
        <v>2286</v>
      </c>
      <c r="V719" s="18">
        <v>1</v>
      </c>
      <c r="W719" s="47" t="s">
        <v>1019</v>
      </c>
      <c r="X719" s="18"/>
      <c r="Y719" s="18"/>
      <c r="Z719" s="98"/>
      <c r="AA719" s="19"/>
      <c r="AB719" s="19">
        <f>SUM(AB720:AB721)</f>
        <v>2107</v>
      </c>
      <c r="AC719" s="18"/>
    </row>
    <row r="720" spans="1:29" s="7" customFormat="1" outlineLevel="3" x14ac:dyDescent="0.25">
      <c r="A720" s="50" t="s">
        <v>5</v>
      </c>
      <c r="B720" s="50" t="s">
        <v>5</v>
      </c>
      <c r="C720" s="50" t="s">
        <v>5</v>
      </c>
      <c r="D720" s="50" t="s">
        <v>4</v>
      </c>
      <c r="E720" s="52" t="s">
        <v>92</v>
      </c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8"/>
      <c r="U720" s="53" t="s">
        <v>93</v>
      </c>
      <c r="V720" s="54">
        <v>1</v>
      </c>
      <c r="W720" s="55" t="s">
        <v>1019</v>
      </c>
      <c r="X720" s="54"/>
      <c r="Y720" s="60"/>
      <c r="Z720" s="100"/>
      <c r="AA720" s="56">
        <v>1790</v>
      </c>
      <c r="AB720" s="56">
        <f>AA720*V720</f>
        <v>1790</v>
      </c>
      <c r="AC720" s="54" t="s">
        <v>2127</v>
      </c>
    </row>
    <row r="721" spans="1:30" s="7" customFormat="1" outlineLevel="3" x14ac:dyDescent="0.25">
      <c r="A721" s="50" t="s">
        <v>5</v>
      </c>
      <c r="B721" s="50" t="s">
        <v>5</v>
      </c>
      <c r="C721" s="50" t="s">
        <v>5</v>
      </c>
      <c r="D721" s="50" t="s">
        <v>49</v>
      </c>
      <c r="E721" s="68" t="s">
        <v>449</v>
      </c>
      <c r="F721" s="52"/>
      <c r="G721" s="52"/>
      <c r="H721" s="69"/>
      <c r="I721" s="69"/>
      <c r="J721" s="69"/>
      <c r="K721" s="69"/>
      <c r="L721" s="69"/>
      <c r="M721" s="69"/>
      <c r="N721" s="69"/>
      <c r="O721" s="69"/>
      <c r="P721" s="69"/>
      <c r="Q721" s="69"/>
      <c r="R721" s="69"/>
      <c r="S721" s="69"/>
      <c r="T721" s="69"/>
      <c r="U721" s="53">
        <v>512964094</v>
      </c>
      <c r="V721" s="54">
        <v>1</v>
      </c>
      <c r="W721" s="55" t="s">
        <v>1019</v>
      </c>
      <c r="X721" s="54"/>
      <c r="Y721" s="60"/>
      <c r="Z721" s="100"/>
      <c r="AA721" s="56">
        <v>317</v>
      </c>
      <c r="AB721" s="56">
        <f>AA721*V721</f>
        <v>317</v>
      </c>
      <c r="AC721" s="54"/>
    </row>
    <row r="722" spans="1:30" s="27" customFormat="1" outlineLevel="2" x14ac:dyDescent="0.25">
      <c r="A722" s="1" t="s">
        <v>5</v>
      </c>
      <c r="B722" s="1" t="s">
        <v>5</v>
      </c>
      <c r="C722" s="1" t="s">
        <v>4</v>
      </c>
      <c r="D722" s="13" t="s">
        <v>212</v>
      </c>
      <c r="E722" s="7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7"/>
      <c r="U722" s="17" t="s">
        <v>2527</v>
      </c>
      <c r="V722" s="18">
        <v>2</v>
      </c>
      <c r="W722" s="47" t="s">
        <v>1019</v>
      </c>
      <c r="X722" s="18"/>
      <c r="Y722" s="21"/>
      <c r="Z722" s="98"/>
      <c r="AA722" s="19">
        <v>80</v>
      </c>
      <c r="AB722" s="19">
        <f>AA722*V722</f>
        <v>160</v>
      </c>
      <c r="AC722" s="18"/>
      <c r="AD722" s="7"/>
    </row>
    <row r="723" spans="1:30" s="7" customFormat="1" outlineLevel="2" x14ac:dyDescent="0.25">
      <c r="A723" s="1" t="s">
        <v>5</v>
      </c>
      <c r="B723" s="1" t="s">
        <v>5</v>
      </c>
      <c r="C723" s="1" t="s">
        <v>4</v>
      </c>
      <c r="D723" s="13" t="s">
        <v>212</v>
      </c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U723" s="17" t="s">
        <v>2528</v>
      </c>
      <c r="V723" s="18">
        <v>1</v>
      </c>
      <c r="W723" s="47" t="s">
        <v>1019</v>
      </c>
      <c r="X723" s="18"/>
      <c r="Y723" s="21"/>
      <c r="Z723" s="98"/>
      <c r="AA723" s="19">
        <v>250</v>
      </c>
      <c r="AB723" s="19">
        <f t="shared" ref="AB723:AB762" si="3">AA723*V723</f>
        <v>250</v>
      </c>
      <c r="AC723" s="18"/>
    </row>
    <row r="724" spans="1:30" s="7" customFormat="1" outlineLevel="2" x14ac:dyDescent="0.25">
      <c r="A724" s="1" t="s">
        <v>5</v>
      </c>
      <c r="B724" s="1" t="s">
        <v>5</v>
      </c>
      <c r="C724" s="1" t="s">
        <v>4</v>
      </c>
      <c r="D724" s="5" t="s">
        <v>533</v>
      </c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U724" s="17" t="s">
        <v>2529</v>
      </c>
      <c r="V724" s="18">
        <v>1</v>
      </c>
      <c r="W724" s="47" t="s">
        <v>1019</v>
      </c>
      <c r="X724" s="18"/>
      <c r="Y724" s="21"/>
      <c r="Z724" s="98"/>
      <c r="AA724" s="19">
        <v>100</v>
      </c>
      <c r="AB724" s="19">
        <f t="shared" si="3"/>
        <v>100</v>
      </c>
      <c r="AC724" s="18" t="s">
        <v>2125</v>
      </c>
    </row>
    <row r="725" spans="1:30" s="7" customFormat="1" outlineLevel="3" x14ac:dyDescent="0.25">
      <c r="A725" s="1" t="s">
        <v>5</v>
      </c>
      <c r="B725" s="1" t="s">
        <v>5</v>
      </c>
      <c r="C725" s="1" t="s">
        <v>5</v>
      </c>
      <c r="D725" s="1" t="s">
        <v>49</v>
      </c>
      <c r="E725" s="13" t="s">
        <v>84</v>
      </c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U725" s="17" t="s">
        <v>85</v>
      </c>
      <c r="V725" s="18">
        <v>1</v>
      </c>
      <c r="W725" s="47" t="s">
        <v>1019</v>
      </c>
      <c r="X725" s="18" t="s">
        <v>83</v>
      </c>
      <c r="Y725" s="22" t="s">
        <v>167</v>
      </c>
      <c r="Z725" s="98"/>
      <c r="AA725" s="19">
        <v>1174.98</v>
      </c>
      <c r="AB725" s="19">
        <f t="shared" si="3"/>
        <v>1174.98</v>
      </c>
      <c r="AC725" s="18"/>
    </row>
    <row r="726" spans="1:30" s="7" customFormat="1" outlineLevel="2" x14ac:dyDescent="0.25">
      <c r="A726" s="1" t="s">
        <v>5</v>
      </c>
      <c r="B726" s="1" t="s">
        <v>5</v>
      </c>
      <c r="C726" s="1" t="s">
        <v>4</v>
      </c>
      <c r="D726" s="13" t="s">
        <v>532</v>
      </c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U726" s="17" t="s">
        <v>2530</v>
      </c>
      <c r="V726" s="18">
        <v>1</v>
      </c>
      <c r="W726" s="47" t="s">
        <v>1019</v>
      </c>
      <c r="X726" s="18"/>
      <c r="Y726" s="21"/>
      <c r="Z726" s="98"/>
      <c r="AA726" s="19">
        <v>50</v>
      </c>
      <c r="AB726" s="19">
        <f t="shared" si="3"/>
        <v>50</v>
      </c>
      <c r="AC726" s="18"/>
    </row>
    <row r="727" spans="1:30" s="7" customFormat="1" outlineLevel="2" x14ac:dyDescent="0.25">
      <c r="A727" s="1" t="s">
        <v>5</v>
      </c>
      <c r="B727" s="1" t="s">
        <v>5</v>
      </c>
      <c r="C727" s="1" t="s">
        <v>4</v>
      </c>
      <c r="D727" s="13" t="s">
        <v>375</v>
      </c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U727" s="17" t="s">
        <v>2287</v>
      </c>
      <c r="V727" s="18">
        <v>1</v>
      </c>
      <c r="W727" s="47" t="s">
        <v>1019</v>
      </c>
      <c r="X727" s="18"/>
      <c r="Y727" s="18"/>
      <c r="Z727" s="98"/>
      <c r="AA727" s="19">
        <v>150</v>
      </c>
      <c r="AB727" s="19">
        <f t="shared" si="3"/>
        <v>150</v>
      </c>
      <c r="AC727" s="18"/>
    </row>
    <row r="728" spans="1:30" s="7" customFormat="1" outlineLevel="2" x14ac:dyDescent="0.25">
      <c r="A728" s="1" t="s">
        <v>5</v>
      </c>
      <c r="B728" s="1" t="s">
        <v>5</v>
      </c>
      <c r="C728" s="1" t="s">
        <v>4</v>
      </c>
      <c r="D728" s="13" t="s">
        <v>377</v>
      </c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U728" s="17" t="s">
        <v>2288</v>
      </c>
      <c r="V728" s="18">
        <v>1</v>
      </c>
      <c r="W728" s="47" t="s">
        <v>1019</v>
      </c>
      <c r="X728" s="18"/>
      <c r="Y728" s="18"/>
      <c r="Z728" s="98"/>
      <c r="AA728" s="19">
        <v>150</v>
      </c>
      <c r="AB728" s="19">
        <f t="shared" si="3"/>
        <v>150</v>
      </c>
      <c r="AC728" s="18"/>
    </row>
    <row r="729" spans="1:30" s="7" customFormat="1" outlineLevel="2" x14ac:dyDescent="0.25">
      <c r="A729" s="1" t="s">
        <v>5</v>
      </c>
      <c r="B729" s="1" t="s">
        <v>5</v>
      </c>
      <c r="C729" s="1" t="s">
        <v>4</v>
      </c>
      <c r="D729" s="13" t="s">
        <v>376</v>
      </c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U729" s="17" t="s">
        <v>2289</v>
      </c>
      <c r="V729" s="18">
        <v>1</v>
      </c>
      <c r="W729" s="47" t="s">
        <v>1019</v>
      </c>
      <c r="X729" s="18"/>
      <c r="Y729" s="18"/>
      <c r="Z729" s="98"/>
      <c r="AA729" s="19">
        <v>150</v>
      </c>
      <c r="AB729" s="19">
        <f t="shared" si="3"/>
        <v>150</v>
      </c>
      <c r="AC729" s="18"/>
    </row>
    <row r="730" spans="1:30" s="7" customFormat="1" outlineLevel="2" x14ac:dyDescent="0.25">
      <c r="A730" s="1" t="s">
        <v>5</v>
      </c>
      <c r="B730" s="1" t="s">
        <v>5</v>
      </c>
      <c r="C730" s="1" t="s">
        <v>4</v>
      </c>
      <c r="D730" s="13" t="s">
        <v>1772</v>
      </c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7"/>
      <c r="V730" s="18">
        <v>5</v>
      </c>
      <c r="W730" s="47" t="s">
        <v>1019</v>
      </c>
      <c r="X730" s="18"/>
      <c r="Y730" s="18"/>
      <c r="Z730" s="98"/>
      <c r="AA730" s="19">
        <v>3</v>
      </c>
      <c r="AB730" s="19">
        <f t="shared" si="3"/>
        <v>15</v>
      </c>
      <c r="AC730" s="18"/>
    </row>
    <row r="731" spans="1:30" s="13" customFormat="1" outlineLevel="2" x14ac:dyDescent="0.25">
      <c r="A731" s="1" t="s">
        <v>5</v>
      </c>
      <c r="B731" s="1" t="s">
        <v>5</v>
      </c>
      <c r="C731" s="1" t="s">
        <v>4</v>
      </c>
      <c r="D731" s="13" t="s">
        <v>1764</v>
      </c>
      <c r="U731" s="17"/>
      <c r="V731" s="18">
        <v>2</v>
      </c>
      <c r="W731" s="47" t="s">
        <v>1019</v>
      </c>
      <c r="X731" s="18"/>
      <c r="Y731" s="18"/>
      <c r="Z731" s="98"/>
      <c r="AA731" s="19">
        <v>3</v>
      </c>
      <c r="AB731" s="19">
        <f t="shared" si="3"/>
        <v>6</v>
      </c>
      <c r="AC731" s="18"/>
      <c r="AD731" s="7"/>
    </row>
    <row r="732" spans="1:30" s="13" customFormat="1" outlineLevel="2" x14ac:dyDescent="0.25">
      <c r="A732" s="1" t="s">
        <v>5</v>
      </c>
      <c r="B732" s="1" t="s">
        <v>5</v>
      </c>
      <c r="C732" s="1" t="s">
        <v>4</v>
      </c>
      <c r="D732" s="13" t="s">
        <v>1021</v>
      </c>
      <c r="E732" s="7"/>
      <c r="T732" s="7"/>
      <c r="U732" s="17" t="s">
        <v>86</v>
      </c>
      <c r="V732" s="18">
        <v>12</v>
      </c>
      <c r="W732" s="47" t="s">
        <v>1019</v>
      </c>
      <c r="X732" s="18"/>
      <c r="Y732" s="21" t="s">
        <v>87</v>
      </c>
      <c r="Z732" s="98"/>
      <c r="AA732" s="19">
        <v>5</v>
      </c>
      <c r="AB732" s="19">
        <f t="shared" si="3"/>
        <v>60</v>
      </c>
      <c r="AC732" s="18"/>
      <c r="AD732" s="7"/>
    </row>
    <row r="733" spans="1:30" s="7" customFormat="1" outlineLevel="2" x14ac:dyDescent="0.25">
      <c r="A733" s="1" t="s">
        <v>5</v>
      </c>
      <c r="B733" s="1" t="s">
        <v>5</v>
      </c>
      <c r="C733" s="1" t="s">
        <v>4</v>
      </c>
      <c r="D733" s="13" t="s">
        <v>1022</v>
      </c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U733" s="17" t="s">
        <v>535</v>
      </c>
      <c r="V733" s="18">
        <v>12</v>
      </c>
      <c r="W733" s="47" t="s">
        <v>1019</v>
      </c>
      <c r="X733" s="18"/>
      <c r="Y733" s="23" t="s">
        <v>534</v>
      </c>
      <c r="Z733" s="98"/>
      <c r="AA733" s="19">
        <v>5</v>
      </c>
      <c r="AB733" s="19">
        <f t="shared" si="3"/>
        <v>60</v>
      </c>
      <c r="AC733" s="18" t="s">
        <v>536</v>
      </c>
    </row>
    <row r="734" spans="1:30" s="7" customFormat="1" outlineLevel="2" x14ac:dyDescent="0.25">
      <c r="A734" s="1" t="s">
        <v>5</v>
      </c>
      <c r="B734" s="1" t="s">
        <v>5</v>
      </c>
      <c r="C734" s="1" t="s">
        <v>4</v>
      </c>
      <c r="D734" s="13" t="s">
        <v>1023</v>
      </c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7"/>
      <c r="V734" s="18">
        <v>5</v>
      </c>
      <c r="W734" s="47" t="s">
        <v>1019</v>
      </c>
      <c r="X734" s="18"/>
      <c r="Y734" s="18"/>
      <c r="Z734" s="98"/>
      <c r="AA734" s="19">
        <v>0.5</v>
      </c>
      <c r="AB734" s="19">
        <f t="shared" si="3"/>
        <v>2.5</v>
      </c>
      <c r="AC734" s="18"/>
    </row>
    <row r="735" spans="1:30" s="13" customFormat="1" outlineLevel="2" x14ac:dyDescent="0.25">
      <c r="A735" s="1" t="s">
        <v>5</v>
      </c>
      <c r="B735" s="1" t="s">
        <v>5</v>
      </c>
      <c r="C735" s="1" t="s">
        <v>4</v>
      </c>
      <c r="D735" s="13" t="s">
        <v>1024</v>
      </c>
      <c r="U735" s="17"/>
      <c r="V735" s="18">
        <v>5</v>
      </c>
      <c r="W735" s="47" t="s">
        <v>1019</v>
      </c>
      <c r="X735" s="18"/>
      <c r="Y735" s="18"/>
      <c r="Z735" s="98"/>
      <c r="AA735" s="19">
        <v>0.3</v>
      </c>
      <c r="AB735" s="19">
        <f t="shared" si="3"/>
        <v>1.5</v>
      </c>
      <c r="AC735" s="18"/>
      <c r="AD735" s="7"/>
    </row>
    <row r="736" spans="1:30" s="13" customFormat="1" outlineLevel="2" x14ac:dyDescent="0.25">
      <c r="A736" s="1" t="s">
        <v>5</v>
      </c>
      <c r="B736" s="1" t="s">
        <v>5</v>
      </c>
      <c r="C736" s="1" t="s">
        <v>4</v>
      </c>
      <c r="D736" s="13" t="s">
        <v>1025</v>
      </c>
      <c r="U736" s="17"/>
      <c r="V736" s="18">
        <v>3</v>
      </c>
      <c r="W736" s="47" t="s">
        <v>1019</v>
      </c>
      <c r="X736" s="18"/>
      <c r="Y736" s="18"/>
      <c r="Z736" s="98"/>
      <c r="AA736" s="19">
        <v>5</v>
      </c>
      <c r="AB736" s="19">
        <f t="shared" si="3"/>
        <v>15</v>
      </c>
      <c r="AC736" s="18"/>
      <c r="AD736" s="7"/>
    </row>
    <row r="737" spans="1:30" s="13" customFormat="1" outlineLevel="2" x14ac:dyDescent="0.25">
      <c r="A737" s="50" t="s">
        <v>5</v>
      </c>
      <c r="B737" s="50" t="s">
        <v>5</v>
      </c>
      <c r="C737" s="50" t="s">
        <v>4</v>
      </c>
      <c r="D737" s="52" t="s">
        <v>1026</v>
      </c>
      <c r="E737" s="52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3"/>
      <c r="V737" s="54">
        <v>3</v>
      </c>
      <c r="W737" s="55" t="s">
        <v>1019</v>
      </c>
      <c r="X737" s="54"/>
      <c r="Y737" s="54"/>
      <c r="Z737" s="100"/>
      <c r="AA737" s="56">
        <v>2</v>
      </c>
      <c r="AB737" s="56">
        <f t="shared" si="3"/>
        <v>6</v>
      </c>
      <c r="AC737" s="54"/>
      <c r="AD737" s="7"/>
    </row>
    <row r="738" spans="1:30" s="13" customFormat="1" outlineLevel="2" x14ac:dyDescent="0.25">
      <c r="A738" s="1" t="s">
        <v>5</v>
      </c>
      <c r="B738" s="1" t="s">
        <v>5</v>
      </c>
      <c r="C738" s="1" t="s">
        <v>4</v>
      </c>
      <c r="D738" s="13" t="s">
        <v>538</v>
      </c>
      <c r="U738" s="17" t="s">
        <v>537</v>
      </c>
      <c r="V738" s="18">
        <v>3</v>
      </c>
      <c r="W738" s="47" t="s">
        <v>1019</v>
      </c>
      <c r="X738" s="18"/>
      <c r="Y738" s="18"/>
      <c r="Z738" s="98"/>
      <c r="AA738" s="19">
        <v>30</v>
      </c>
      <c r="AB738" s="19">
        <f t="shared" si="3"/>
        <v>90</v>
      </c>
      <c r="AC738" s="18"/>
      <c r="AD738" s="7"/>
    </row>
    <row r="739" spans="1:30" s="13" customFormat="1" outlineLevel="2" x14ac:dyDescent="0.25">
      <c r="A739" s="1" t="s">
        <v>5</v>
      </c>
      <c r="B739" s="1" t="s">
        <v>5</v>
      </c>
      <c r="C739" s="1" t="s">
        <v>4</v>
      </c>
      <c r="D739" s="13" t="s">
        <v>97</v>
      </c>
      <c r="T739" s="7"/>
      <c r="U739" s="17" t="s">
        <v>98</v>
      </c>
      <c r="V739" s="18">
        <v>1</v>
      </c>
      <c r="W739" s="47" t="s">
        <v>1019</v>
      </c>
      <c r="X739" s="18"/>
      <c r="Y739" s="22" t="s">
        <v>99</v>
      </c>
      <c r="Z739" s="98"/>
      <c r="AA739" s="19">
        <v>430</v>
      </c>
      <c r="AB739" s="19">
        <f t="shared" si="3"/>
        <v>430</v>
      </c>
      <c r="AC739" s="20" t="s">
        <v>100</v>
      </c>
      <c r="AD739" s="7"/>
    </row>
    <row r="740" spans="1:30" s="7" customFormat="1" outlineLevel="2" x14ac:dyDescent="0.25">
      <c r="A740" s="1" t="s">
        <v>5</v>
      </c>
      <c r="B740" s="1" t="s">
        <v>5</v>
      </c>
      <c r="C740" s="1" t="s">
        <v>4</v>
      </c>
      <c r="D740" s="13" t="s">
        <v>90</v>
      </c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U740" s="17" t="s">
        <v>91</v>
      </c>
      <c r="V740" s="18">
        <v>1</v>
      </c>
      <c r="W740" s="47" t="s">
        <v>1019</v>
      </c>
      <c r="X740" s="18"/>
      <c r="Y740" s="21"/>
      <c r="Z740" s="98"/>
      <c r="AA740" s="19">
        <v>890</v>
      </c>
      <c r="AB740" s="19">
        <f t="shared" si="3"/>
        <v>890</v>
      </c>
      <c r="AC740" s="18"/>
    </row>
    <row r="741" spans="1:30" s="7" customFormat="1" outlineLevel="2" x14ac:dyDescent="0.25">
      <c r="A741" s="1" t="s">
        <v>5</v>
      </c>
      <c r="B741" s="1" t="s">
        <v>5</v>
      </c>
      <c r="C741" s="1" t="s">
        <v>4</v>
      </c>
      <c r="D741" s="13" t="s">
        <v>919</v>
      </c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U741" s="17" t="s">
        <v>921</v>
      </c>
      <c r="V741" s="18">
        <v>1</v>
      </c>
      <c r="W741" s="47" t="s">
        <v>1019</v>
      </c>
      <c r="X741" s="18"/>
      <c r="Y741" s="24" t="s">
        <v>920</v>
      </c>
      <c r="Z741" s="98"/>
      <c r="AA741" s="19">
        <v>290</v>
      </c>
      <c r="AB741" s="19">
        <f t="shared" si="3"/>
        <v>290</v>
      </c>
      <c r="AC741" s="18"/>
    </row>
    <row r="742" spans="1:30" s="7" customFormat="1" outlineLevel="2" x14ac:dyDescent="0.25">
      <c r="A742" s="1" t="s">
        <v>5</v>
      </c>
      <c r="B742" s="1" t="s">
        <v>5</v>
      </c>
      <c r="C742" s="1" t="s">
        <v>4</v>
      </c>
      <c r="D742" s="13" t="s">
        <v>101</v>
      </c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U742" s="17" t="s">
        <v>102</v>
      </c>
      <c r="V742" s="18">
        <v>1</v>
      </c>
      <c r="W742" s="47" t="s">
        <v>1019</v>
      </c>
      <c r="X742" s="18"/>
      <c r="Y742" s="21" t="s">
        <v>103</v>
      </c>
      <c r="Z742" s="98"/>
      <c r="AA742" s="19">
        <v>47.5</v>
      </c>
      <c r="AB742" s="19">
        <f t="shared" si="3"/>
        <v>47.5</v>
      </c>
      <c r="AC742" s="18"/>
    </row>
    <row r="743" spans="1:30" s="7" customFormat="1" outlineLevel="2" x14ac:dyDescent="0.25">
      <c r="A743" s="1" t="s">
        <v>5</v>
      </c>
      <c r="B743" s="1" t="s">
        <v>5</v>
      </c>
      <c r="C743" s="1" t="s">
        <v>4</v>
      </c>
      <c r="D743" s="13" t="s">
        <v>79</v>
      </c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U743" s="17"/>
      <c r="V743" s="18">
        <v>1</v>
      </c>
      <c r="W743" s="47" t="s">
        <v>1019</v>
      </c>
      <c r="X743" s="18"/>
      <c r="Y743" s="21" t="s">
        <v>80</v>
      </c>
      <c r="Z743" s="98"/>
      <c r="AA743" s="19">
        <v>2350</v>
      </c>
      <c r="AB743" s="19">
        <f t="shared" si="3"/>
        <v>2350</v>
      </c>
      <c r="AC743" s="18"/>
    </row>
    <row r="744" spans="1:30" s="7" customFormat="1" outlineLevel="2" x14ac:dyDescent="0.25">
      <c r="A744" s="1" t="s">
        <v>5</v>
      </c>
      <c r="B744" s="1" t="s">
        <v>5</v>
      </c>
      <c r="C744" s="1" t="s">
        <v>4</v>
      </c>
      <c r="D744" s="13" t="s">
        <v>81</v>
      </c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U744" s="17" t="s">
        <v>82</v>
      </c>
      <c r="V744" s="18">
        <v>1</v>
      </c>
      <c r="W744" s="47" t="s">
        <v>1019</v>
      </c>
      <c r="X744" s="18" t="s">
        <v>83</v>
      </c>
      <c r="Y744" s="22" t="s">
        <v>166</v>
      </c>
      <c r="Z744" s="98"/>
      <c r="AA744" s="19">
        <v>686.29</v>
      </c>
      <c r="AB744" s="19">
        <f t="shared" si="3"/>
        <v>686.29</v>
      </c>
      <c r="AC744" s="18"/>
    </row>
    <row r="745" spans="1:30" s="7" customFormat="1" outlineLevel="2" x14ac:dyDescent="0.25">
      <c r="A745" s="1" t="s">
        <v>5</v>
      </c>
      <c r="B745" s="1" t="s">
        <v>5</v>
      </c>
      <c r="C745" s="1" t="s">
        <v>4</v>
      </c>
      <c r="D745" s="13" t="s">
        <v>539</v>
      </c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7"/>
      <c r="V745" s="18">
        <v>0.12</v>
      </c>
      <c r="W745" s="47" t="s">
        <v>1018</v>
      </c>
      <c r="X745" s="18"/>
      <c r="Y745" s="18"/>
      <c r="Z745" s="98"/>
      <c r="AA745" s="19">
        <v>390</v>
      </c>
      <c r="AB745" s="19">
        <f t="shared" si="3"/>
        <v>46.8</v>
      </c>
      <c r="AC745" s="18"/>
    </row>
    <row r="746" spans="1:30" s="13" customFormat="1" outlineLevel="2" x14ac:dyDescent="0.25">
      <c r="A746" s="50" t="s">
        <v>5</v>
      </c>
      <c r="B746" s="50" t="s">
        <v>5</v>
      </c>
      <c r="C746" s="50" t="s">
        <v>4</v>
      </c>
      <c r="D746" s="52" t="s">
        <v>975</v>
      </c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3"/>
      <c r="V746" s="54">
        <v>0.9</v>
      </c>
      <c r="W746" s="55" t="s">
        <v>1018</v>
      </c>
      <c r="X746" s="54"/>
      <c r="Y746" s="66" t="s">
        <v>974</v>
      </c>
      <c r="Z746" s="100"/>
      <c r="AA746" s="56">
        <v>122</v>
      </c>
      <c r="AB746" s="56">
        <f t="shared" si="3"/>
        <v>109.8</v>
      </c>
      <c r="AC746" s="54"/>
      <c r="AD746" s="7"/>
    </row>
    <row r="747" spans="1:30" s="13" customFormat="1" outlineLevel="2" x14ac:dyDescent="0.25">
      <c r="A747" s="1" t="s">
        <v>5</v>
      </c>
      <c r="B747" s="1" t="s">
        <v>5</v>
      </c>
      <c r="C747" s="1" t="s">
        <v>4</v>
      </c>
      <c r="D747" s="13" t="s">
        <v>972</v>
      </c>
      <c r="U747" s="17"/>
      <c r="V747" s="18">
        <v>0.08</v>
      </c>
      <c r="W747" s="47" t="s">
        <v>1018</v>
      </c>
      <c r="X747" s="18"/>
      <c r="Y747" s="29" t="s">
        <v>973</v>
      </c>
      <c r="Z747" s="98"/>
      <c r="AA747" s="19">
        <v>165</v>
      </c>
      <c r="AB747" s="19">
        <f t="shared" si="3"/>
        <v>13.200000000000001</v>
      </c>
      <c r="AC747" s="18"/>
      <c r="AD747" s="7"/>
    </row>
    <row r="748" spans="1:30" s="13" customFormat="1" outlineLevel="2" x14ac:dyDescent="0.25">
      <c r="A748" s="1" t="s">
        <v>5</v>
      </c>
      <c r="B748" s="1" t="s">
        <v>5</v>
      </c>
      <c r="C748" s="1" t="s">
        <v>4</v>
      </c>
      <c r="D748" s="13" t="s">
        <v>543</v>
      </c>
      <c r="U748" s="17"/>
      <c r="V748" s="18">
        <v>0.05</v>
      </c>
      <c r="W748" s="47" t="s">
        <v>1018</v>
      </c>
      <c r="X748" s="18"/>
      <c r="Y748" s="18"/>
      <c r="Z748" s="98"/>
      <c r="AA748" s="19">
        <v>85.6</v>
      </c>
      <c r="AB748" s="19">
        <f t="shared" si="3"/>
        <v>4.28</v>
      </c>
      <c r="AC748" s="18"/>
      <c r="AD748" s="7"/>
    </row>
    <row r="749" spans="1:30" s="13" customFormat="1" outlineLevel="2" x14ac:dyDescent="0.25">
      <c r="A749" s="1" t="s">
        <v>5</v>
      </c>
      <c r="B749" s="1" t="s">
        <v>5</v>
      </c>
      <c r="C749" s="1" t="s">
        <v>4</v>
      </c>
      <c r="D749" s="5" t="s">
        <v>211</v>
      </c>
      <c r="U749" s="17"/>
      <c r="V749" s="18">
        <v>1</v>
      </c>
      <c r="W749" s="47" t="s">
        <v>1019</v>
      </c>
      <c r="X749" s="18"/>
      <c r="Y749" s="18"/>
      <c r="Z749" s="98"/>
      <c r="AA749" s="19"/>
      <c r="AB749" s="19">
        <f t="shared" si="3"/>
        <v>0</v>
      </c>
      <c r="AC749" s="18"/>
      <c r="AD749" s="7"/>
    </row>
    <row r="750" spans="1:30" s="13" customFormat="1" outlineLevel="3" x14ac:dyDescent="0.25">
      <c r="A750" s="1" t="s">
        <v>5</v>
      </c>
      <c r="B750" s="1" t="s">
        <v>5</v>
      </c>
      <c r="C750" s="1" t="s">
        <v>5</v>
      </c>
      <c r="D750" s="1" t="s">
        <v>4</v>
      </c>
      <c r="E750" s="13" t="s">
        <v>621</v>
      </c>
      <c r="U750" s="17" t="s">
        <v>622</v>
      </c>
      <c r="V750" s="18">
        <v>1</v>
      </c>
      <c r="W750" s="47" t="s">
        <v>1019</v>
      </c>
      <c r="X750" s="18"/>
      <c r="Y750" s="29" t="s">
        <v>620</v>
      </c>
      <c r="Z750" s="98"/>
      <c r="AA750" s="19">
        <v>1491</v>
      </c>
      <c r="AB750" s="19">
        <f t="shared" si="3"/>
        <v>1491</v>
      </c>
      <c r="AC750" s="18"/>
      <c r="AD750" s="7"/>
    </row>
    <row r="751" spans="1:30" s="13" customFormat="1" outlineLevel="3" x14ac:dyDescent="0.25">
      <c r="A751" s="1" t="s">
        <v>5</v>
      </c>
      <c r="B751" s="1" t="s">
        <v>5</v>
      </c>
      <c r="C751" s="1" t="s">
        <v>5</v>
      </c>
      <c r="D751" s="1" t="s">
        <v>4</v>
      </c>
      <c r="E751" s="13" t="s">
        <v>625</v>
      </c>
      <c r="U751" s="17" t="s">
        <v>624</v>
      </c>
      <c r="V751" s="18">
        <v>1</v>
      </c>
      <c r="W751" s="47" t="s">
        <v>1019</v>
      </c>
      <c r="X751" s="18"/>
      <c r="Y751" s="29" t="s">
        <v>623</v>
      </c>
      <c r="Z751" s="98"/>
      <c r="AA751" s="19">
        <v>795</v>
      </c>
      <c r="AB751" s="19">
        <f t="shared" si="3"/>
        <v>795</v>
      </c>
      <c r="AC751" s="18"/>
      <c r="AD751" s="7"/>
    </row>
    <row r="752" spans="1:30" s="13" customFormat="1" outlineLevel="3" x14ac:dyDescent="0.25">
      <c r="A752" s="1" t="s">
        <v>5</v>
      </c>
      <c r="B752" s="1" t="s">
        <v>5</v>
      </c>
      <c r="C752" s="1" t="s">
        <v>5</v>
      </c>
      <c r="D752" s="1" t="s">
        <v>4</v>
      </c>
      <c r="E752" s="13" t="s">
        <v>631</v>
      </c>
      <c r="U752" s="17" t="s">
        <v>630</v>
      </c>
      <c r="V752" s="18">
        <v>1</v>
      </c>
      <c r="W752" s="47" t="s">
        <v>1019</v>
      </c>
      <c r="X752" s="18"/>
      <c r="Y752" s="29" t="s">
        <v>629</v>
      </c>
      <c r="Z752" s="98"/>
      <c r="AA752" s="19">
        <v>759</v>
      </c>
      <c r="AB752" s="19">
        <f t="shared" si="3"/>
        <v>759</v>
      </c>
      <c r="AC752" s="18"/>
      <c r="AD752" s="7"/>
    </row>
    <row r="753" spans="1:30" s="13" customFormat="1" outlineLevel="3" x14ac:dyDescent="0.25">
      <c r="A753" s="1" t="s">
        <v>5</v>
      </c>
      <c r="B753" s="1" t="s">
        <v>5</v>
      </c>
      <c r="C753" s="1" t="s">
        <v>5</v>
      </c>
      <c r="D753" s="1" t="s">
        <v>4</v>
      </c>
      <c r="E753" s="13" t="s">
        <v>628</v>
      </c>
      <c r="U753" s="17" t="s">
        <v>627</v>
      </c>
      <c r="V753" s="18">
        <v>1</v>
      </c>
      <c r="W753" s="47" t="s">
        <v>1019</v>
      </c>
      <c r="X753" s="18"/>
      <c r="Y753" s="29" t="s">
        <v>1785</v>
      </c>
      <c r="Z753" s="98"/>
      <c r="AA753" s="19">
        <v>96</v>
      </c>
      <c r="AB753" s="19">
        <f t="shared" si="3"/>
        <v>96</v>
      </c>
      <c r="AC753" s="18"/>
      <c r="AD753" s="7"/>
    </row>
    <row r="754" spans="1:30" s="13" customFormat="1" outlineLevel="3" x14ac:dyDescent="0.25">
      <c r="A754" s="1" t="s">
        <v>5</v>
      </c>
      <c r="B754" s="1" t="s">
        <v>5</v>
      </c>
      <c r="C754" s="1" t="s">
        <v>5</v>
      </c>
      <c r="D754" s="1" t="s">
        <v>4</v>
      </c>
      <c r="E754" s="13" t="s">
        <v>626</v>
      </c>
      <c r="U754" s="17"/>
      <c r="V754" s="18">
        <v>1</v>
      </c>
      <c r="W754" s="47" t="s">
        <v>1019</v>
      </c>
      <c r="X754" s="18"/>
      <c r="Y754" s="18"/>
      <c r="Z754" s="98"/>
      <c r="AA754" s="19">
        <v>10</v>
      </c>
      <c r="AB754" s="19">
        <f t="shared" si="3"/>
        <v>10</v>
      </c>
      <c r="AC754" s="18"/>
      <c r="AD754" s="7"/>
    </row>
    <row r="755" spans="1:30" s="13" customFormat="1" outlineLevel="3" x14ac:dyDescent="0.25">
      <c r="A755" s="1" t="s">
        <v>5</v>
      </c>
      <c r="B755" s="1" t="s">
        <v>5</v>
      </c>
      <c r="C755" s="1" t="s">
        <v>5</v>
      </c>
      <c r="D755" s="1" t="s">
        <v>49</v>
      </c>
      <c r="E755" s="13" t="s">
        <v>632</v>
      </c>
      <c r="U755" s="17"/>
      <c r="V755" s="18">
        <v>1</v>
      </c>
      <c r="W755" s="47" t="s">
        <v>1019</v>
      </c>
      <c r="X755" s="18"/>
      <c r="Y755" s="18"/>
      <c r="Z755" s="98"/>
      <c r="AA755" s="19">
        <v>10</v>
      </c>
      <c r="AB755" s="19">
        <f t="shared" si="3"/>
        <v>10</v>
      </c>
      <c r="AC755" s="18"/>
      <c r="AD755" s="7"/>
    </row>
    <row r="756" spans="1:30" s="13" customFormat="1" outlineLevel="2" x14ac:dyDescent="0.25">
      <c r="A756" s="1" t="s">
        <v>5</v>
      </c>
      <c r="B756" s="1" t="s">
        <v>5</v>
      </c>
      <c r="C756" s="1" t="s">
        <v>4</v>
      </c>
      <c r="D756" s="33" t="s">
        <v>1773</v>
      </c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7"/>
      <c r="U756" s="34"/>
      <c r="V756" s="35">
        <v>1</v>
      </c>
      <c r="W756" s="48" t="s">
        <v>1019</v>
      </c>
      <c r="X756" s="35" t="s">
        <v>633</v>
      </c>
      <c r="Y756" s="36" t="s">
        <v>634</v>
      </c>
      <c r="Z756" s="38"/>
      <c r="AA756" s="37"/>
      <c r="AB756" s="19">
        <f t="shared" si="3"/>
        <v>0</v>
      </c>
      <c r="AC756" s="18" t="s">
        <v>977</v>
      </c>
      <c r="AD756" s="7"/>
    </row>
    <row r="757" spans="1:30" s="7" customFormat="1" outlineLevel="2" x14ac:dyDescent="0.25">
      <c r="A757" s="1" t="s">
        <v>5</v>
      </c>
      <c r="B757" s="1" t="s">
        <v>5</v>
      </c>
      <c r="C757" s="1" t="s">
        <v>4</v>
      </c>
      <c r="D757" s="33" t="s">
        <v>1774</v>
      </c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U757" s="38"/>
      <c r="V757" s="35">
        <v>1</v>
      </c>
      <c r="W757" s="48" t="s">
        <v>1019</v>
      </c>
      <c r="X757" s="35" t="s">
        <v>633</v>
      </c>
      <c r="Y757" s="39" t="s">
        <v>636</v>
      </c>
      <c r="Z757" s="38"/>
      <c r="AA757" s="37"/>
      <c r="AB757" s="19">
        <f t="shared" si="3"/>
        <v>0</v>
      </c>
      <c r="AC757" s="18" t="s">
        <v>977</v>
      </c>
    </row>
    <row r="758" spans="1:30" s="7" customFormat="1" outlineLevel="2" x14ac:dyDescent="0.25">
      <c r="A758" s="1" t="s">
        <v>5</v>
      </c>
      <c r="B758" s="1" t="s">
        <v>5</v>
      </c>
      <c r="C758" s="1" t="s">
        <v>4</v>
      </c>
      <c r="D758" s="33" t="s">
        <v>1775</v>
      </c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U758" s="38"/>
      <c r="V758" s="35">
        <v>1</v>
      </c>
      <c r="W758" s="48" t="s">
        <v>1019</v>
      </c>
      <c r="X758" s="35" t="s">
        <v>633</v>
      </c>
      <c r="Y758" s="39" t="s">
        <v>635</v>
      </c>
      <c r="Z758" s="38"/>
      <c r="AA758" s="37"/>
      <c r="AB758" s="19">
        <f t="shared" si="3"/>
        <v>0</v>
      </c>
      <c r="AC758" s="18" t="s">
        <v>977</v>
      </c>
    </row>
    <row r="759" spans="1:30" s="7" customFormat="1" outlineLevel="2" x14ac:dyDescent="0.25">
      <c r="A759" s="50" t="s">
        <v>5</v>
      </c>
      <c r="B759" s="50" t="s">
        <v>5</v>
      </c>
      <c r="C759" s="50" t="s">
        <v>4</v>
      </c>
      <c r="D759" s="52" t="s">
        <v>958</v>
      </c>
      <c r="E759" s="52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8"/>
      <c r="U759" s="53">
        <v>7427225</v>
      </c>
      <c r="V759" s="54">
        <v>2</v>
      </c>
      <c r="W759" s="55" t="s">
        <v>1019</v>
      </c>
      <c r="X759" s="54" t="s">
        <v>987</v>
      </c>
      <c r="Y759" s="59" t="s">
        <v>986</v>
      </c>
      <c r="Z759" s="100"/>
      <c r="AA759" s="56">
        <v>350</v>
      </c>
      <c r="AB759" s="56">
        <f t="shared" si="3"/>
        <v>700</v>
      </c>
      <c r="AC759" s="54"/>
    </row>
    <row r="760" spans="1:30" s="7" customFormat="1" outlineLevel="2" x14ac:dyDescent="0.25">
      <c r="A760" s="1" t="s">
        <v>5</v>
      </c>
      <c r="B760" s="1" t="s">
        <v>5</v>
      </c>
      <c r="C760" s="1" t="s">
        <v>4</v>
      </c>
      <c r="D760" s="13" t="s">
        <v>541</v>
      </c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U760" s="17" t="s">
        <v>540</v>
      </c>
      <c r="V760" s="18">
        <v>1</v>
      </c>
      <c r="W760" s="47" t="s">
        <v>1019</v>
      </c>
      <c r="X760" s="18"/>
      <c r="Y760" s="23" t="s">
        <v>542</v>
      </c>
      <c r="Z760" s="98"/>
      <c r="AA760" s="19">
        <v>100</v>
      </c>
      <c r="AB760" s="19">
        <f t="shared" si="3"/>
        <v>100</v>
      </c>
      <c r="AC760" s="18"/>
    </row>
    <row r="761" spans="1:30" s="7" customFormat="1" outlineLevel="2" x14ac:dyDescent="0.25">
      <c r="A761" s="1" t="s">
        <v>5</v>
      </c>
      <c r="B761" s="1" t="s">
        <v>5</v>
      </c>
      <c r="C761" s="1" t="s">
        <v>4</v>
      </c>
      <c r="D761" s="13" t="s">
        <v>94</v>
      </c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U761" s="17" t="s">
        <v>95</v>
      </c>
      <c r="V761" s="18">
        <v>1</v>
      </c>
      <c r="W761" s="47" t="s">
        <v>1019</v>
      </c>
      <c r="X761" s="18"/>
      <c r="Y761" s="21" t="s">
        <v>96</v>
      </c>
      <c r="Z761" s="98"/>
      <c r="AA761" s="19">
        <v>1240</v>
      </c>
      <c r="AB761" s="19">
        <f t="shared" si="3"/>
        <v>1240</v>
      </c>
      <c r="AC761" s="18"/>
    </row>
    <row r="762" spans="1:30" s="7" customFormat="1" outlineLevel="2" x14ac:dyDescent="0.25">
      <c r="A762" s="50" t="s">
        <v>5</v>
      </c>
      <c r="B762" s="50" t="s">
        <v>5</v>
      </c>
      <c r="C762" s="50" t="s">
        <v>49</v>
      </c>
      <c r="D762" s="52" t="s">
        <v>979</v>
      </c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8"/>
      <c r="U762" s="53" t="s">
        <v>980</v>
      </c>
      <c r="V762" s="54">
        <v>2</v>
      </c>
      <c r="W762" s="55" t="s">
        <v>1019</v>
      </c>
      <c r="X762" s="66" t="s">
        <v>982</v>
      </c>
      <c r="Y762" s="59" t="s">
        <v>981</v>
      </c>
      <c r="Z762" s="100"/>
      <c r="AA762" s="56">
        <v>9</v>
      </c>
      <c r="AB762" s="56">
        <f t="shared" si="3"/>
        <v>18</v>
      </c>
      <c r="AC762" s="54"/>
    </row>
    <row r="763" spans="1:30" s="7" customFormat="1" outlineLevel="1" x14ac:dyDescent="0.25">
      <c r="A763" s="1" t="s">
        <v>5</v>
      </c>
      <c r="B763" s="1" t="s">
        <v>4</v>
      </c>
      <c r="C763" s="5" t="s">
        <v>2131</v>
      </c>
      <c r="D763" s="4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U763" s="30" t="s">
        <v>2290</v>
      </c>
      <c r="V763" s="18">
        <v>1</v>
      </c>
      <c r="W763" s="47" t="s">
        <v>1019</v>
      </c>
      <c r="X763" s="31"/>
      <c r="Y763" s="32"/>
      <c r="Z763" s="98" t="s">
        <v>1988</v>
      </c>
      <c r="AA763" s="19"/>
      <c r="AB763" s="19"/>
      <c r="AC763" s="18"/>
    </row>
    <row r="764" spans="1:30" s="7" customFormat="1" outlineLevel="2" x14ac:dyDescent="0.25">
      <c r="A764" s="1" t="s">
        <v>5</v>
      </c>
      <c r="B764" s="1" t="s">
        <v>5</v>
      </c>
      <c r="C764" s="1" t="s">
        <v>49</v>
      </c>
      <c r="D764" s="13" t="s">
        <v>2132</v>
      </c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U764" s="17" t="s">
        <v>2291</v>
      </c>
      <c r="V764" s="18">
        <v>1</v>
      </c>
      <c r="W764" s="47" t="s">
        <v>1019</v>
      </c>
      <c r="X764" s="18"/>
      <c r="Y764" s="18"/>
      <c r="Z764" s="98"/>
      <c r="AA764" s="19"/>
      <c r="AB764" s="19"/>
      <c r="AC764" s="18"/>
    </row>
    <row r="765" spans="1:30" s="7" customFormat="1" outlineLevel="3" x14ac:dyDescent="0.25">
      <c r="A765" s="1" t="s">
        <v>5</v>
      </c>
      <c r="B765" s="1" t="s">
        <v>5</v>
      </c>
      <c r="C765" s="4"/>
      <c r="D765" s="1" t="s">
        <v>4</v>
      </c>
      <c r="E765" s="13" t="s">
        <v>372</v>
      </c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U765" s="17" t="s">
        <v>2531</v>
      </c>
      <c r="V765" s="18">
        <v>1</v>
      </c>
      <c r="W765" s="47" t="s">
        <v>1019</v>
      </c>
      <c r="X765" s="18"/>
      <c r="Y765" s="18"/>
      <c r="Z765" s="98"/>
      <c r="AA765" s="19"/>
      <c r="AB765" s="19"/>
      <c r="AC765" s="18"/>
    </row>
    <row r="766" spans="1:30" s="7" customFormat="1" outlineLevel="4" x14ac:dyDescent="0.25">
      <c r="A766" s="1" t="s">
        <v>5</v>
      </c>
      <c r="B766" s="1" t="s">
        <v>5</v>
      </c>
      <c r="C766" s="4"/>
      <c r="D766" s="1" t="s">
        <v>5</v>
      </c>
      <c r="E766" s="1" t="s">
        <v>49</v>
      </c>
      <c r="F766" s="13" t="s">
        <v>374</v>
      </c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U766" s="17" t="s">
        <v>2292</v>
      </c>
      <c r="V766" s="18">
        <v>1</v>
      </c>
      <c r="W766" s="47" t="s">
        <v>1019</v>
      </c>
      <c r="X766" s="18"/>
      <c r="Y766" s="18"/>
      <c r="Z766" s="98"/>
      <c r="AA766" s="19"/>
      <c r="AB766" s="19"/>
      <c r="AC766" s="18"/>
    </row>
    <row r="767" spans="1:30" s="7" customFormat="1" outlineLevel="3" x14ac:dyDescent="0.25">
      <c r="A767" s="1" t="s">
        <v>5</v>
      </c>
      <c r="B767" s="1" t="s">
        <v>5</v>
      </c>
      <c r="C767" s="4"/>
      <c r="D767" s="1" t="s">
        <v>49</v>
      </c>
      <c r="E767" s="13" t="s">
        <v>549</v>
      </c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U767" s="17" t="s">
        <v>2293</v>
      </c>
      <c r="V767" s="18">
        <v>1</v>
      </c>
      <c r="W767" s="47" t="s">
        <v>1019</v>
      </c>
      <c r="X767" s="18"/>
      <c r="Y767" s="18"/>
      <c r="Z767" s="98"/>
      <c r="AA767" s="19"/>
      <c r="AB767" s="19"/>
      <c r="AC767" s="18"/>
    </row>
    <row r="768" spans="1:30" s="7" customFormat="1" outlineLevel="4" x14ac:dyDescent="0.25">
      <c r="A768" s="1" t="s">
        <v>5</v>
      </c>
      <c r="B768" s="1" t="s">
        <v>5</v>
      </c>
      <c r="C768" s="4"/>
      <c r="E768" s="1" t="s">
        <v>49</v>
      </c>
      <c r="F768" s="13" t="s">
        <v>550</v>
      </c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U768" s="17" t="s">
        <v>2294</v>
      </c>
      <c r="V768" s="18">
        <v>1</v>
      </c>
      <c r="W768" s="47" t="s">
        <v>1019</v>
      </c>
      <c r="X768" s="18"/>
      <c r="Y768" s="18"/>
      <c r="Z768" s="98"/>
      <c r="AA768" s="19"/>
      <c r="AB768" s="19"/>
      <c r="AC768" s="18"/>
    </row>
    <row r="769" spans="1:29" s="7" customFormat="1" outlineLevel="1" x14ac:dyDescent="0.25">
      <c r="A769" s="1" t="s">
        <v>5</v>
      </c>
      <c r="B769" s="1" t="s">
        <v>4</v>
      </c>
      <c r="C769" s="5" t="s">
        <v>2133</v>
      </c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U769" s="17" t="s">
        <v>2295</v>
      </c>
      <c r="V769" s="18">
        <v>1</v>
      </c>
      <c r="W769" s="47" t="s">
        <v>1019</v>
      </c>
      <c r="X769" s="18"/>
      <c r="Y769" s="18"/>
      <c r="Z769" s="98" t="s">
        <v>1985</v>
      </c>
      <c r="AA769" s="19"/>
      <c r="AB769" s="19"/>
      <c r="AC769" s="18"/>
    </row>
    <row r="770" spans="1:29" s="7" customFormat="1" outlineLevel="2" x14ac:dyDescent="0.25">
      <c r="A770" s="1" t="s">
        <v>5</v>
      </c>
      <c r="B770" s="1" t="s">
        <v>5</v>
      </c>
      <c r="C770" s="1" t="s">
        <v>49</v>
      </c>
      <c r="D770" s="13" t="s">
        <v>2134</v>
      </c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U770" s="17" t="s">
        <v>2296</v>
      </c>
      <c r="V770" s="18">
        <v>1</v>
      </c>
      <c r="W770" s="47" t="s">
        <v>1019</v>
      </c>
      <c r="X770" s="18"/>
      <c r="Y770" s="18"/>
      <c r="Z770" s="98"/>
      <c r="AA770" s="19"/>
      <c r="AB770" s="19"/>
      <c r="AC770" s="18"/>
    </row>
    <row r="771" spans="1:29" s="7" customFormat="1" outlineLevel="3" x14ac:dyDescent="0.25">
      <c r="A771" s="1" t="s">
        <v>5</v>
      </c>
      <c r="B771" s="1" t="s">
        <v>5</v>
      </c>
      <c r="C771" s="4"/>
      <c r="D771" s="1" t="s">
        <v>4</v>
      </c>
      <c r="E771" s="13" t="s">
        <v>370</v>
      </c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U771" s="17" t="s">
        <v>2532</v>
      </c>
      <c r="V771" s="18">
        <v>1</v>
      </c>
      <c r="W771" s="47" t="s">
        <v>1019</v>
      </c>
      <c r="X771" s="18"/>
      <c r="Y771" s="18"/>
      <c r="Z771" s="98"/>
      <c r="AA771" s="19"/>
      <c r="AB771" s="19"/>
      <c r="AC771" s="18"/>
    </row>
    <row r="772" spans="1:29" s="7" customFormat="1" outlineLevel="4" x14ac:dyDescent="0.25">
      <c r="A772" s="1" t="s">
        <v>5</v>
      </c>
      <c r="B772" s="1" t="s">
        <v>5</v>
      </c>
      <c r="C772" s="4"/>
      <c r="D772" s="1" t="s">
        <v>5</v>
      </c>
      <c r="E772" s="1" t="s">
        <v>49</v>
      </c>
      <c r="F772" s="13" t="s">
        <v>371</v>
      </c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U772" s="17" t="s">
        <v>2297</v>
      </c>
      <c r="V772" s="18">
        <v>1</v>
      </c>
      <c r="W772" s="47" t="s">
        <v>1019</v>
      </c>
      <c r="X772" s="18"/>
      <c r="Y772" s="18"/>
      <c r="Z772" s="98"/>
      <c r="AA772" s="19"/>
      <c r="AB772" s="19"/>
      <c r="AC772" s="18"/>
    </row>
    <row r="773" spans="1:29" s="7" customFormat="1" outlineLevel="3" x14ac:dyDescent="0.25">
      <c r="A773" s="1" t="s">
        <v>5</v>
      </c>
      <c r="B773" s="1" t="s">
        <v>5</v>
      </c>
      <c r="C773" s="4"/>
      <c r="D773" s="1" t="s">
        <v>49</v>
      </c>
      <c r="E773" s="13" t="s">
        <v>547</v>
      </c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U773" s="17" t="s">
        <v>2298</v>
      </c>
      <c r="V773" s="18">
        <v>1</v>
      </c>
      <c r="W773" s="47" t="s">
        <v>1019</v>
      </c>
      <c r="X773" s="18"/>
      <c r="Y773" s="18"/>
      <c r="Z773" s="98"/>
      <c r="AA773" s="19"/>
      <c r="AB773" s="19"/>
      <c r="AC773" s="18"/>
    </row>
    <row r="774" spans="1:29" s="7" customFormat="1" outlineLevel="4" x14ac:dyDescent="0.25">
      <c r="A774" s="1" t="s">
        <v>5</v>
      </c>
      <c r="B774" s="1" t="s">
        <v>5</v>
      </c>
      <c r="C774" s="4"/>
      <c r="E774" s="1" t="s">
        <v>49</v>
      </c>
      <c r="F774" s="13" t="s">
        <v>548</v>
      </c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U774" s="17" t="s">
        <v>2299</v>
      </c>
      <c r="V774" s="18">
        <v>1</v>
      </c>
      <c r="W774" s="47" t="s">
        <v>1019</v>
      </c>
      <c r="X774" s="18"/>
      <c r="Y774" s="18"/>
      <c r="Z774" s="98"/>
      <c r="AA774" s="19"/>
      <c r="AB774" s="19"/>
      <c r="AC774" s="18"/>
    </row>
    <row r="775" spans="1:29" s="7" customFormat="1" outlineLevel="1" x14ac:dyDescent="0.25">
      <c r="A775" s="1" t="s">
        <v>5</v>
      </c>
      <c r="B775" s="1" t="s">
        <v>4</v>
      </c>
      <c r="C775" s="5" t="s">
        <v>2135</v>
      </c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U775" s="17" t="s">
        <v>2300</v>
      </c>
      <c r="V775" s="18">
        <v>1</v>
      </c>
      <c r="W775" s="47" t="s">
        <v>1019</v>
      </c>
      <c r="X775" s="18"/>
      <c r="Y775" s="18"/>
      <c r="Z775" s="98" t="s">
        <v>1986</v>
      </c>
      <c r="AA775" s="19"/>
      <c r="AB775" s="19"/>
      <c r="AC775" s="18"/>
    </row>
    <row r="776" spans="1:29" s="7" customFormat="1" outlineLevel="2" x14ac:dyDescent="0.25">
      <c r="A776" s="1" t="s">
        <v>5</v>
      </c>
      <c r="B776" s="1" t="s">
        <v>5</v>
      </c>
      <c r="C776" s="1" t="s">
        <v>49</v>
      </c>
      <c r="D776" s="13" t="s">
        <v>2136</v>
      </c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U776" s="17" t="s">
        <v>2301</v>
      </c>
      <c r="V776" s="18">
        <v>1</v>
      </c>
      <c r="W776" s="47" t="s">
        <v>1019</v>
      </c>
      <c r="X776" s="18"/>
      <c r="Y776" s="18"/>
      <c r="Z776" s="98"/>
      <c r="AA776" s="19"/>
      <c r="AB776" s="19"/>
      <c r="AC776" s="18"/>
    </row>
    <row r="777" spans="1:29" s="7" customFormat="1" outlineLevel="3" x14ac:dyDescent="0.25">
      <c r="A777" s="1" t="s">
        <v>5</v>
      </c>
      <c r="B777" s="1" t="s">
        <v>5</v>
      </c>
      <c r="C777" s="4"/>
      <c r="D777" s="1" t="s">
        <v>4</v>
      </c>
      <c r="E777" s="13" t="s">
        <v>362</v>
      </c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U777" s="17" t="s">
        <v>2533</v>
      </c>
      <c r="V777" s="18">
        <v>1</v>
      </c>
      <c r="W777" s="47" t="s">
        <v>1019</v>
      </c>
      <c r="X777" s="18"/>
      <c r="Y777" s="18"/>
      <c r="Z777" s="98"/>
      <c r="AA777" s="19"/>
      <c r="AB777" s="19"/>
      <c r="AC777" s="18"/>
    </row>
    <row r="778" spans="1:29" s="7" customFormat="1" outlineLevel="4" x14ac:dyDescent="0.25">
      <c r="A778" s="1" t="s">
        <v>5</v>
      </c>
      <c r="B778" s="1" t="s">
        <v>5</v>
      </c>
      <c r="C778" s="4"/>
      <c r="D778" s="1" t="s">
        <v>5</v>
      </c>
      <c r="E778" s="1" t="s">
        <v>49</v>
      </c>
      <c r="F778" s="13" t="s">
        <v>363</v>
      </c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U778" s="17" t="s">
        <v>2302</v>
      </c>
      <c r="V778" s="18">
        <v>1</v>
      </c>
      <c r="W778" s="47" t="s">
        <v>1019</v>
      </c>
      <c r="X778" s="18"/>
      <c r="Y778" s="18"/>
      <c r="Z778" s="98"/>
      <c r="AA778" s="19"/>
      <c r="AB778" s="19"/>
      <c r="AC778" s="18"/>
    </row>
    <row r="779" spans="1:29" s="7" customFormat="1" outlineLevel="3" x14ac:dyDescent="0.25">
      <c r="A779" s="1" t="s">
        <v>5</v>
      </c>
      <c r="B779" s="1" t="s">
        <v>5</v>
      </c>
      <c r="C779" s="4"/>
      <c r="D779" s="1" t="s">
        <v>49</v>
      </c>
      <c r="E779" s="13" t="s">
        <v>545</v>
      </c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U779" s="17" t="s">
        <v>2303</v>
      </c>
      <c r="V779" s="18">
        <v>1</v>
      </c>
      <c r="W779" s="47" t="s">
        <v>1019</v>
      </c>
      <c r="X779" s="18"/>
      <c r="Y779" s="18"/>
      <c r="Z779" s="98"/>
      <c r="AA779" s="19"/>
      <c r="AB779" s="19"/>
      <c r="AC779" s="18"/>
    </row>
    <row r="780" spans="1:29" s="7" customFormat="1" outlineLevel="4" x14ac:dyDescent="0.25">
      <c r="A780" s="1" t="s">
        <v>5</v>
      </c>
      <c r="B780" s="1" t="s">
        <v>5</v>
      </c>
      <c r="C780" s="4"/>
      <c r="E780" s="1" t="s">
        <v>49</v>
      </c>
      <c r="F780" s="13" t="s">
        <v>546</v>
      </c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U780" s="17" t="s">
        <v>2304</v>
      </c>
      <c r="V780" s="18">
        <v>1</v>
      </c>
      <c r="W780" s="47" t="s">
        <v>1019</v>
      </c>
      <c r="X780" s="18"/>
      <c r="Y780" s="18"/>
      <c r="Z780" s="98"/>
      <c r="AA780" s="19"/>
      <c r="AB780" s="19"/>
      <c r="AC780" s="18"/>
    </row>
    <row r="781" spans="1:29" s="7" customFormat="1" outlineLevel="1" x14ac:dyDescent="0.25">
      <c r="A781" s="50" t="s">
        <v>5</v>
      </c>
      <c r="B781" s="50" t="s">
        <v>4</v>
      </c>
      <c r="C781" s="51" t="s">
        <v>2137</v>
      </c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8"/>
      <c r="U781" s="53" t="s">
        <v>2305</v>
      </c>
      <c r="V781" s="54">
        <v>1</v>
      </c>
      <c r="W781" s="55" t="s">
        <v>1019</v>
      </c>
      <c r="X781" s="54"/>
      <c r="Y781" s="54"/>
      <c r="Z781" s="100" t="s">
        <v>1989</v>
      </c>
      <c r="AA781" s="56"/>
      <c r="AB781" s="56"/>
      <c r="AC781" s="54"/>
    </row>
    <row r="782" spans="1:29" s="7" customFormat="1" outlineLevel="1" x14ac:dyDescent="0.25">
      <c r="A782" s="1" t="s">
        <v>5</v>
      </c>
      <c r="B782" s="1" t="s">
        <v>4</v>
      </c>
      <c r="C782" s="5" t="s">
        <v>2138</v>
      </c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U782" s="17" t="s">
        <v>2306</v>
      </c>
      <c r="V782" s="18">
        <v>1</v>
      </c>
      <c r="W782" s="47" t="s">
        <v>1019</v>
      </c>
      <c r="X782" s="18"/>
      <c r="Y782" s="18"/>
      <c r="Z782" s="98" t="s">
        <v>1987</v>
      </c>
      <c r="AA782" s="19"/>
      <c r="AB782" s="19"/>
      <c r="AC782" s="18"/>
    </row>
    <row r="783" spans="1:29" s="7" customFormat="1" outlineLevel="2" x14ac:dyDescent="0.25">
      <c r="A783" s="1" t="s">
        <v>5</v>
      </c>
      <c r="B783" s="1" t="s">
        <v>5</v>
      </c>
      <c r="C783" s="1" t="s">
        <v>49</v>
      </c>
      <c r="D783" s="13" t="s">
        <v>2139</v>
      </c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U783" s="17" t="s">
        <v>2307</v>
      </c>
      <c r="V783" s="18">
        <v>1</v>
      </c>
      <c r="W783" s="47" t="s">
        <v>1019</v>
      </c>
      <c r="X783" s="18"/>
      <c r="Y783" s="18"/>
      <c r="Z783" s="98"/>
      <c r="AA783" s="19"/>
      <c r="AB783" s="19"/>
      <c r="AC783" s="18"/>
    </row>
    <row r="784" spans="1:29" s="7" customFormat="1" outlineLevel="3" x14ac:dyDescent="0.25">
      <c r="A784" s="1" t="s">
        <v>5</v>
      </c>
      <c r="B784" s="1" t="s">
        <v>5</v>
      </c>
      <c r="C784" s="4"/>
      <c r="D784" s="1" t="s">
        <v>4</v>
      </c>
      <c r="E784" s="5" t="s">
        <v>372</v>
      </c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U784" s="17" t="s">
        <v>2531</v>
      </c>
      <c r="V784" s="18">
        <v>1</v>
      </c>
      <c r="W784" s="47" t="s">
        <v>1019</v>
      </c>
      <c r="X784" s="18"/>
      <c r="Y784" s="18"/>
      <c r="Z784" s="98"/>
      <c r="AA784" s="19"/>
      <c r="AB784" s="19"/>
      <c r="AC784" s="18"/>
    </row>
    <row r="785" spans="1:29" s="7" customFormat="1" outlineLevel="4" x14ac:dyDescent="0.25">
      <c r="A785" s="1" t="s">
        <v>5</v>
      </c>
      <c r="B785" s="1" t="s">
        <v>5</v>
      </c>
      <c r="C785" s="4"/>
      <c r="D785" s="1" t="s">
        <v>5</v>
      </c>
      <c r="E785" s="1" t="s">
        <v>49</v>
      </c>
      <c r="F785" s="13" t="s">
        <v>374</v>
      </c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U785" s="17" t="s">
        <v>2308</v>
      </c>
      <c r="V785" s="18">
        <v>1</v>
      </c>
      <c r="W785" s="47" t="s">
        <v>1019</v>
      </c>
      <c r="X785" s="18"/>
      <c r="Y785" s="18"/>
      <c r="Z785" s="98"/>
      <c r="AA785" s="19"/>
      <c r="AB785" s="19"/>
      <c r="AC785" s="18"/>
    </row>
    <row r="786" spans="1:29" s="7" customFormat="1" outlineLevel="3" x14ac:dyDescent="0.25">
      <c r="A786" s="1" t="s">
        <v>5</v>
      </c>
      <c r="B786" s="1" t="s">
        <v>5</v>
      </c>
      <c r="C786" s="4"/>
      <c r="D786" s="1" t="s">
        <v>49</v>
      </c>
      <c r="E786" s="5" t="s">
        <v>373</v>
      </c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U786" s="17" t="s">
        <v>2309</v>
      </c>
      <c r="V786" s="18">
        <v>1</v>
      </c>
      <c r="W786" s="47" t="s">
        <v>1019</v>
      </c>
      <c r="X786" s="18"/>
      <c r="Y786" s="18"/>
      <c r="Z786" s="98"/>
      <c r="AA786" s="19"/>
      <c r="AB786" s="19"/>
      <c r="AC786" s="18"/>
    </row>
    <row r="787" spans="1:29" s="7" customFormat="1" outlineLevel="4" x14ac:dyDescent="0.25">
      <c r="A787" s="1" t="s">
        <v>5</v>
      </c>
      <c r="B787" s="1" t="s">
        <v>5</v>
      </c>
      <c r="C787" s="4"/>
      <c r="E787" s="1" t="s">
        <v>4</v>
      </c>
      <c r="F787" s="13" t="s">
        <v>373</v>
      </c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U787" s="17" t="s">
        <v>2534</v>
      </c>
      <c r="V787" s="18">
        <v>1</v>
      </c>
      <c r="W787" s="47" t="s">
        <v>1019</v>
      </c>
      <c r="X787" s="18"/>
      <c r="Y787" s="18"/>
      <c r="Z787" s="98"/>
      <c r="AA787" s="19"/>
      <c r="AB787" s="19"/>
      <c r="AC787" s="18"/>
    </row>
    <row r="788" spans="1:29" s="7" customFormat="1" outlineLevel="4" x14ac:dyDescent="0.25">
      <c r="A788" s="1" t="s">
        <v>5</v>
      </c>
      <c r="B788" s="1" t="s">
        <v>5</v>
      </c>
      <c r="C788" s="4"/>
      <c r="E788" s="1" t="s">
        <v>4</v>
      </c>
      <c r="F788" s="5" t="s">
        <v>955</v>
      </c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U788" s="17" t="s">
        <v>2310</v>
      </c>
      <c r="V788" s="18">
        <v>1</v>
      </c>
      <c r="W788" s="47" t="s">
        <v>1019</v>
      </c>
      <c r="X788" s="18"/>
      <c r="Y788" s="18"/>
      <c r="Z788" s="98"/>
      <c r="AA788" s="19"/>
      <c r="AB788" s="19"/>
      <c r="AC788" s="18"/>
    </row>
    <row r="789" spans="1:29" s="7" customFormat="1" outlineLevel="5" x14ac:dyDescent="0.25">
      <c r="A789" s="1" t="s">
        <v>5</v>
      </c>
      <c r="B789" s="1" t="s">
        <v>5</v>
      </c>
      <c r="C789" s="4"/>
      <c r="E789" s="1" t="s">
        <v>5</v>
      </c>
      <c r="F789" s="1" t="s">
        <v>4</v>
      </c>
      <c r="G789" s="13" t="s">
        <v>956</v>
      </c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U789" s="17" t="s">
        <v>2311</v>
      </c>
      <c r="V789" s="18">
        <v>1</v>
      </c>
      <c r="W789" s="47" t="s">
        <v>1019</v>
      </c>
      <c r="X789" s="18"/>
      <c r="Y789" s="24"/>
      <c r="Z789" s="98"/>
      <c r="AA789" s="19"/>
      <c r="AB789" s="19"/>
      <c r="AC789" s="18"/>
    </row>
    <row r="790" spans="1:29" s="7" customFormat="1" outlineLevel="5" x14ac:dyDescent="0.25">
      <c r="A790" s="1" t="s">
        <v>5</v>
      </c>
      <c r="B790" s="1" t="s">
        <v>5</v>
      </c>
      <c r="C790" s="4"/>
      <c r="E790" s="1" t="s">
        <v>5</v>
      </c>
      <c r="F790" s="1" t="s">
        <v>4</v>
      </c>
      <c r="G790" s="13" t="s">
        <v>953</v>
      </c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U790" s="17" t="s">
        <v>952</v>
      </c>
      <c r="V790" s="18">
        <v>2</v>
      </c>
      <c r="W790" s="47" t="s">
        <v>1018</v>
      </c>
      <c r="X790" s="18"/>
      <c r="Y790" s="24" t="s">
        <v>954</v>
      </c>
      <c r="Z790" s="98"/>
      <c r="AA790" s="19">
        <v>22.23</v>
      </c>
      <c r="AB790" s="19"/>
      <c r="AC790" s="18"/>
    </row>
    <row r="791" spans="1:29" s="7" customFormat="1" outlineLevel="5" x14ac:dyDescent="0.25">
      <c r="A791" s="1" t="s">
        <v>5</v>
      </c>
      <c r="B791" s="1" t="s">
        <v>5</v>
      </c>
      <c r="C791" s="4"/>
      <c r="E791" s="1" t="s">
        <v>5</v>
      </c>
      <c r="F791" s="1" t="s">
        <v>4</v>
      </c>
      <c r="G791" s="13" t="s">
        <v>29</v>
      </c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U791" s="17" t="s">
        <v>30</v>
      </c>
      <c r="V791" s="18">
        <v>1</v>
      </c>
      <c r="W791" s="47" t="s">
        <v>1019</v>
      </c>
      <c r="X791" s="18" t="s">
        <v>8</v>
      </c>
      <c r="Y791" s="23" t="s">
        <v>201</v>
      </c>
      <c r="Z791" s="98"/>
      <c r="AA791" s="19"/>
      <c r="AB791" s="19"/>
      <c r="AC791" s="18"/>
    </row>
    <row r="792" spans="1:29" s="7" customFormat="1" outlineLevel="5" x14ac:dyDescent="0.25">
      <c r="A792" s="1" t="s">
        <v>5</v>
      </c>
      <c r="B792" s="1" t="s">
        <v>5</v>
      </c>
      <c r="C792" s="4"/>
      <c r="E792" s="1" t="s">
        <v>5</v>
      </c>
      <c r="F792" s="1" t="s">
        <v>4</v>
      </c>
      <c r="G792" s="13" t="s">
        <v>89</v>
      </c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U792" s="30" t="s">
        <v>169</v>
      </c>
      <c r="V792" s="18">
        <v>1</v>
      </c>
      <c r="W792" s="47" t="s">
        <v>1019</v>
      </c>
      <c r="X792" s="31" t="s">
        <v>171</v>
      </c>
      <c r="Y792" s="32" t="s">
        <v>173</v>
      </c>
      <c r="Z792" s="98"/>
      <c r="AA792" s="19">
        <v>1943.84</v>
      </c>
      <c r="AB792" s="19"/>
      <c r="AC792" s="18"/>
    </row>
    <row r="793" spans="1:29" s="7" customFormat="1" outlineLevel="5" x14ac:dyDescent="0.25">
      <c r="A793" s="50" t="s">
        <v>5</v>
      </c>
      <c r="B793" s="50" t="s">
        <v>5</v>
      </c>
      <c r="C793" s="50"/>
      <c r="D793" s="58"/>
      <c r="E793" s="50" t="s">
        <v>5</v>
      </c>
      <c r="F793" s="50" t="s">
        <v>49</v>
      </c>
      <c r="G793" s="52" t="s">
        <v>1065</v>
      </c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8"/>
      <c r="U793" s="53"/>
      <c r="V793" s="54">
        <v>0.1</v>
      </c>
      <c r="W793" s="55" t="s">
        <v>1018</v>
      </c>
      <c r="X793" s="54"/>
      <c r="Y793" s="60"/>
      <c r="Z793" s="100"/>
      <c r="AA793" s="56"/>
      <c r="AB793" s="56"/>
      <c r="AC793" s="54"/>
    </row>
    <row r="794" spans="1:29" s="7" customFormat="1" outlineLevel="4" x14ac:dyDescent="0.25">
      <c r="A794" s="1" t="s">
        <v>5</v>
      </c>
      <c r="B794" s="1" t="s">
        <v>5</v>
      </c>
      <c r="C794" s="4"/>
      <c r="E794" s="1" t="s">
        <v>49</v>
      </c>
      <c r="F794" s="13" t="s">
        <v>950</v>
      </c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U794" s="17" t="s">
        <v>2312</v>
      </c>
      <c r="V794" s="18">
        <v>1</v>
      </c>
      <c r="W794" s="47" t="s">
        <v>1019</v>
      </c>
      <c r="X794" s="18"/>
      <c r="Y794" s="18"/>
      <c r="Z794" s="98"/>
      <c r="AA794" s="19"/>
      <c r="AB794" s="19"/>
      <c r="AC794" s="18"/>
    </row>
    <row r="795" spans="1:29" s="7" customFormat="1" outlineLevel="1" x14ac:dyDescent="0.25">
      <c r="A795" s="1" t="s">
        <v>5</v>
      </c>
      <c r="B795" s="1" t="s">
        <v>4</v>
      </c>
      <c r="C795" s="5" t="s">
        <v>2140</v>
      </c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U795" s="17" t="s">
        <v>2313</v>
      </c>
      <c r="V795" s="18">
        <v>1</v>
      </c>
      <c r="W795" s="47" t="s">
        <v>1019</v>
      </c>
      <c r="X795" s="18"/>
      <c r="Y795" s="18"/>
      <c r="Z795" s="98" t="s">
        <v>1990</v>
      </c>
      <c r="AA795" s="19"/>
      <c r="AB795" s="19"/>
      <c r="AC795" s="18"/>
    </row>
    <row r="796" spans="1:29" s="7" customFormat="1" outlineLevel="2" x14ac:dyDescent="0.25">
      <c r="A796" s="1" t="s">
        <v>5</v>
      </c>
      <c r="B796" s="1" t="s">
        <v>5</v>
      </c>
      <c r="C796" s="1" t="s">
        <v>49</v>
      </c>
      <c r="D796" s="13" t="s">
        <v>2141</v>
      </c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U796" s="17" t="s">
        <v>2314</v>
      </c>
      <c r="V796" s="18">
        <v>1</v>
      </c>
      <c r="W796" s="47" t="s">
        <v>1019</v>
      </c>
      <c r="X796" s="18"/>
      <c r="Y796" s="18"/>
      <c r="Z796" s="98"/>
      <c r="AA796" s="19"/>
      <c r="AB796" s="19"/>
      <c r="AC796" s="18"/>
    </row>
    <row r="797" spans="1:29" s="7" customFormat="1" outlineLevel="3" x14ac:dyDescent="0.25">
      <c r="A797" s="1" t="s">
        <v>5</v>
      </c>
      <c r="B797" s="1" t="s">
        <v>5</v>
      </c>
      <c r="C797" s="4"/>
      <c r="D797" s="1" t="s">
        <v>4</v>
      </c>
      <c r="E797" s="5" t="s">
        <v>370</v>
      </c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U797" s="17" t="s">
        <v>2532</v>
      </c>
      <c r="V797" s="18">
        <v>1</v>
      </c>
      <c r="W797" s="47" t="s">
        <v>1019</v>
      </c>
      <c r="X797" s="18"/>
      <c r="Y797" s="18"/>
      <c r="Z797" s="98"/>
      <c r="AA797" s="19"/>
      <c r="AB797" s="19"/>
      <c r="AC797" s="18"/>
    </row>
    <row r="798" spans="1:29" s="7" customFormat="1" outlineLevel="4" x14ac:dyDescent="0.25">
      <c r="A798" s="1" t="s">
        <v>5</v>
      </c>
      <c r="B798" s="1" t="s">
        <v>5</v>
      </c>
      <c r="C798" s="4"/>
      <c r="D798" s="1" t="s">
        <v>5</v>
      </c>
      <c r="E798" s="1" t="s">
        <v>49</v>
      </c>
      <c r="F798" s="13" t="s">
        <v>371</v>
      </c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U798" s="17" t="s">
        <v>2315</v>
      </c>
      <c r="V798" s="18">
        <v>1</v>
      </c>
      <c r="W798" s="47" t="s">
        <v>1019</v>
      </c>
      <c r="X798" s="18"/>
      <c r="Y798" s="18"/>
      <c r="Z798" s="98"/>
      <c r="AA798" s="19"/>
      <c r="AB798" s="19"/>
      <c r="AC798" s="18"/>
    </row>
    <row r="799" spans="1:29" s="7" customFormat="1" outlineLevel="3" x14ac:dyDescent="0.25">
      <c r="A799" s="1" t="s">
        <v>5</v>
      </c>
      <c r="B799" s="1" t="s">
        <v>5</v>
      </c>
      <c r="C799" s="4"/>
      <c r="D799" s="1" t="s">
        <v>49</v>
      </c>
      <c r="E799" s="5" t="s">
        <v>369</v>
      </c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U799" s="17" t="s">
        <v>2316</v>
      </c>
      <c r="V799" s="18">
        <v>1</v>
      </c>
      <c r="W799" s="47" t="s">
        <v>1019</v>
      </c>
      <c r="X799" s="18"/>
      <c r="Y799" s="18"/>
      <c r="Z799" s="98"/>
      <c r="AA799" s="19"/>
      <c r="AB799" s="19"/>
      <c r="AC799" s="18"/>
    </row>
    <row r="800" spans="1:29" s="7" customFormat="1" outlineLevel="4" x14ac:dyDescent="0.25">
      <c r="A800" s="1" t="s">
        <v>5</v>
      </c>
      <c r="B800" s="1" t="s">
        <v>5</v>
      </c>
      <c r="C800" s="4"/>
      <c r="E800" s="1" t="s">
        <v>4</v>
      </c>
      <c r="F800" s="13" t="s">
        <v>368</v>
      </c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U800" s="17" t="s">
        <v>2535</v>
      </c>
      <c r="V800" s="18">
        <v>1</v>
      </c>
      <c r="W800" s="47" t="s">
        <v>1019</v>
      </c>
      <c r="X800" s="18"/>
      <c r="Y800" s="18"/>
      <c r="Z800" s="98"/>
      <c r="AA800" s="19"/>
      <c r="AB800" s="19"/>
      <c r="AC800" s="18"/>
    </row>
    <row r="801" spans="1:29" s="7" customFormat="1" outlineLevel="4" x14ac:dyDescent="0.25">
      <c r="A801" s="1" t="s">
        <v>5</v>
      </c>
      <c r="B801" s="1" t="s">
        <v>5</v>
      </c>
      <c r="C801" s="4"/>
      <c r="E801" s="1" t="s">
        <v>4</v>
      </c>
      <c r="F801" s="5" t="s">
        <v>955</v>
      </c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U801" s="17" t="s">
        <v>2317</v>
      </c>
      <c r="V801" s="18">
        <v>1</v>
      </c>
      <c r="W801" s="47" t="s">
        <v>1019</v>
      </c>
      <c r="X801" s="18"/>
      <c r="Y801" s="18"/>
      <c r="Z801" s="98"/>
      <c r="AA801" s="19"/>
      <c r="AB801" s="19"/>
      <c r="AC801" s="18"/>
    </row>
    <row r="802" spans="1:29" s="7" customFormat="1" outlineLevel="5" x14ac:dyDescent="0.25">
      <c r="A802" s="1" t="s">
        <v>5</v>
      </c>
      <c r="B802" s="1" t="s">
        <v>5</v>
      </c>
      <c r="C802" s="4"/>
      <c r="E802" s="1" t="s">
        <v>5</v>
      </c>
      <c r="F802" s="1" t="s">
        <v>4</v>
      </c>
      <c r="G802" s="13" t="s">
        <v>956</v>
      </c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U802" s="17" t="s">
        <v>2311</v>
      </c>
      <c r="V802" s="18">
        <v>1</v>
      </c>
      <c r="W802" s="47" t="s">
        <v>1019</v>
      </c>
      <c r="X802" s="18"/>
      <c r="Y802" s="24"/>
      <c r="Z802" s="98"/>
      <c r="AA802" s="19"/>
      <c r="AB802" s="19"/>
      <c r="AC802" s="18"/>
    </row>
    <row r="803" spans="1:29" s="7" customFormat="1" outlineLevel="5" x14ac:dyDescent="0.25">
      <c r="A803" s="1" t="s">
        <v>5</v>
      </c>
      <c r="B803" s="1" t="s">
        <v>5</v>
      </c>
      <c r="C803" s="4"/>
      <c r="E803" s="1" t="s">
        <v>5</v>
      </c>
      <c r="F803" s="1" t="s">
        <v>4</v>
      </c>
      <c r="G803" s="13" t="s">
        <v>953</v>
      </c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U803" s="17" t="s">
        <v>952</v>
      </c>
      <c r="V803" s="18">
        <v>2</v>
      </c>
      <c r="W803" s="47" t="s">
        <v>1018</v>
      </c>
      <c r="X803" s="18"/>
      <c r="Y803" s="24" t="s">
        <v>954</v>
      </c>
      <c r="Z803" s="98"/>
      <c r="AA803" s="19">
        <v>22.23</v>
      </c>
      <c r="AB803" s="19"/>
      <c r="AC803" s="18"/>
    </row>
    <row r="804" spans="1:29" s="7" customFormat="1" outlineLevel="5" x14ac:dyDescent="0.25">
      <c r="A804" s="1" t="s">
        <v>5</v>
      </c>
      <c r="B804" s="1" t="s">
        <v>5</v>
      </c>
      <c r="C804" s="4"/>
      <c r="E804" s="1" t="s">
        <v>5</v>
      </c>
      <c r="F804" s="1" t="s">
        <v>4</v>
      </c>
      <c r="G804" s="13" t="s">
        <v>29</v>
      </c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U804" s="17" t="s">
        <v>30</v>
      </c>
      <c r="V804" s="18">
        <v>1</v>
      </c>
      <c r="W804" s="47" t="s">
        <v>1019</v>
      </c>
      <c r="X804" s="18" t="s">
        <v>8</v>
      </c>
      <c r="Y804" s="23" t="s">
        <v>201</v>
      </c>
      <c r="Z804" s="98"/>
      <c r="AA804" s="19"/>
      <c r="AB804" s="19"/>
      <c r="AC804" s="18"/>
    </row>
    <row r="805" spans="1:29" s="7" customFormat="1" outlineLevel="5" x14ac:dyDescent="0.25">
      <c r="A805" s="1" t="s">
        <v>5</v>
      </c>
      <c r="B805" s="1" t="s">
        <v>5</v>
      </c>
      <c r="C805" s="4"/>
      <c r="E805" s="1" t="s">
        <v>5</v>
      </c>
      <c r="F805" s="1" t="s">
        <v>4</v>
      </c>
      <c r="G805" s="13" t="s">
        <v>89</v>
      </c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U805" s="30" t="s">
        <v>169</v>
      </c>
      <c r="V805" s="18">
        <v>1</v>
      </c>
      <c r="W805" s="47" t="s">
        <v>1019</v>
      </c>
      <c r="X805" s="31" t="s">
        <v>171</v>
      </c>
      <c r="Y805" s="32" t="s">
        <v>173</v>
      </c>
      <c r="Z805" s="98"/>
      <c r="AA805" s="19">
        <v>1943.84</v>
      </c>
      <c r="AB805" s="19"/>
      <c r="AC805" s="18"/>
    </row>
    <row r="806" spans="1:29" s="7" customFormat="1" outlineLevel="5" x14ac:dyDescent="0.25">
      <c r="A806" s="50" t="s">
        <v>5</v>
      </c>
      <c r="B806" s="50" t="s">
        <v>5</v>
      </c>
      <c r="C806" s="50"/>
      <c r="D806" s="58"/>
      <c r="E806" s="50" t="s">
        <v>5</v>
      </c>
      <c r="F806" s="50" t="s">
        <v>49</v>
      </c>
      <c r="G806" s="52" t="s">
        <v>1065</v>
      </c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8"/>
      <c r="U806" s="53"/>
      <c r="V806" s="54">
        <v>0.1</v>
      </c>
      <c r="W806" s="55" t="s">
        <v>1018</v>
      </c>
      <c r="X806" s="54"/>
      <c r="Y806" s="60"/>
      <c r="Z806" s="100"/>
      <c r="AA806" s="56"/>
      <c r="AB806" s="56"/>
      <c r="AC806" s="54"/>
    </row>
    <row r="807" spans="1:29" s="7" customFormat="1" outlineLevel="4" x14ac:dyDescent="0.25">
      <c r="A807" s="1" t="s">
        <v>5</v>
      </c>
      <c r="B807" s="1" t="s">
        <v>5</v>
      </c>
      <c r="C807" s="4"/>
      <c r="E807" s="1" t="s">
        <v>49</v>
      </c>
      <c r="F807" s="13" t="s">
        <v>367</v>
      </c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U807" s="17" t="s">
        <v>2318</v>
      </c>
      <c r="V807" s="18">
        <v>1</v>
      </c>
      <c r="W807" s="47" t="s">
        <v>1019</v>
      </c>
      <c r="X807" s="18"/>
      <c r="Y807" s="18"/>
      <c r="Z807" s="98"/>
      <c r="AA807" s="19"/>
      <c r="AB807" s="19"/>
      <c r="AC807" s="18"/>
    </row>
    <row r="808" spans="1:29" s="7" customFormat="1" outlineLevel="1" x14ac:dyDescent="0.25">
      <c r="A808" s="1" t="s">
        <v>5</v>
      </c>
      <c r="B808" s="1" t="s">
        <v>4</v>
      </c>
      <c r="C808" s="5" t="s">
        <v>2142</v>
      </c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U808" s="17" t="s">
        <v>2319</v>
      </c>
      <c r="V808" s="18">
        <v>1</v>
      </c>
      <c r="W808" s="47" t="s">
        <v>1019</v>
      </c>
      <c r="X808" s="18"/>
      <c r="Y808" s="18"/>
      <c r="Z808" s="98" t="s">
        <v>1991</v>
      </c>
      <c r="AA808" s="19"/>
      <c r="AB808" s="19"/>
      <c r="AC808" s="18"/>
    </row>
    <row r="809" spans="1:29" s="7" customFormat="1" outlineLevel="2" x14ac:dyDescent="0.25">
      <c r="A809" s="1" t="s">
        <v>5</v>
      </c>
      <c r="B809" s="1" t="s">
        <v>5</v>
      </c>
      <c r="C809" s="1" t="s">
        <v>49</v>
      </c>
      <c r="D809" s="13" t="s">
        <v>2143</v>
      </c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U809" s="17" t="s">
        <v>2320</v>
      </c>
      <c r="V809" s="18">
        <v>1</v>
      </c>
      <c r="W809" s="47" t="s">
        <v>1019</v>
      </c>
      <c r="X809" s="18"/>
      <c r="Y809" s="18"/>
      <c r="Z809" s="98"/>
      <c r="AA809" s="19"/>
      <c r="AB809" s="19"/>
      <c r="AC809" s="18"/>
    </row>
    <row r="810" spans="1:29" s="7" customFormat="1" outlineLevel="3" x14ac:dyDescent="0.25">
      <c r="A810" s="1" t="s">
        <v>5</v>
      </c>
      <c r="B810" s="1" t="s">
        <v>5</v>
      </c>
      <c r="C810" s="4"/>
      <c r="D810" s="1" t="s">
        <v>4</v>
      </c>
      <c r="E810" s="5" t="s">
        <v>362</v>
      </c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U810" s="17" t="s">
        <v>2533</v>
      </c>
      <c r="V810" s="18">
        <v>1</v>
      </c>
      <c r="W810" s="47" t="s">
        <v>1019</v>
      </c>
      <c r="X810" s="18"/>
      <c r="Y810" s="18"/>
      <c r="Z810" s="98"/>
      <c r="AA810" s="19"/>
      <c r="AB810" s="19"/>
      <c r="AC810" s="18"/>
    </row>
    <row r="811" spans="1:29" s="7" customFormat="1" outlineLevel="4" x14ac:dyDescent="0.25">
      <c r="A811" s="1" t="s">
        <v>5</v>
      </c>
      <c r="B811" s="1" t="s">
        <v>5</v>
      </c>
      <c r="C811" s="4"/>
      <c r="D811" s="1" t="s">
        <v>5</v>
      </c>
      <c r="E811" s="1" t="s">
        <v>49</v>
      </c>
      <c r="F811" s="13" t="s">
        <v>363</v>
      </c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U811" s="17" t="s">
        <v>2321</v>
      </c>
      <c r="V811" s="18">
        <v>1</v>
      </c>
      <c r="W811" s="47" t="s">
        <v>1019</v>
      </c>
      <c r="X811" s="18"/>
      <c r="Y811" s="18"/>
      <c r="Z811" s="98"/>
      <c r="AA811" s="19"/>
      <c r="AB811" s="19"/>
      <c r="AC811" s="18"/>
    </row>
    <row r="812" spans="1:29" s="7" customFormat="1" outlineLevel="3" x14ac:dyDescent="0.25">
      <c r="A812" s="1" t="s">
        <v>5</v>
      </c>
      <c r="B812" s="1" t="s">
        <v>5</v>
      </c>
      <c r="C812" s="4"/>
      <c r="D812" s="1" t="s">
        <v>49</v>
      </c>
      <c r="E812" s="5" t="s">
        <v>364</v>
      </c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U812" s="17" t="s">
        <v>2322</v>
      </c>
      <c r="V812" s="18">
        <v>1</v>
      </c>
      <c r="W812" s="47" t="s">
        <v>1019</v>
      </c>
      <c r="X812" s="18"/>
      <c r="Y812" s="18"/>
      <c r="Z812" s="98"/>
      <c r="AA812" s="19"/>
      <c r="AB812" s="19"/>
      <c r="AC812" s="18"/>
    </row>
    <row r="813" spans="1:29" s="7" customFormat="1" outlineLevel="4" x14ac:dyDescent="0.25">
      <c r="A813" s="1" t="s">
        <v>5</v>
      </c>
      <c r="B813" s="1" t="s">
        <v>5</v>
      </c>
      <c r="C813" s="4"/>
      <c r="E813" s="1" t="s">
        <v>4</v>
      </c>
      <c r="F813" s="13" t="s">
        <v>365</v>
      </c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U813" s="17" t="s">
        <v>2536</v>
      </c>
      <c r="V813" s="18">
        <v>1</v>
      </c>
      <c r="W813" s="47" t="s">
        <v>1019</v>
      </c>
      <c r="X813" s="18"/>
      <c r="Y813" s="18"/>
      <c r="Z813" s="98"/>
      <c r="AA813" s="19"/>
      <c r="AB813" s="19"/>
      <c r="AC813" s="18"/>
    </row>
    <row r="814" spans="1:29" s="7" customFormat="1" outlineLevel="4" x14ac:dyDescent="0.25">
      <c r="A814" s="1" t="s">
        <v>5</v>
      </c>
      <c r="B814" s="1" t="s">
        <v>5</v>
      </c>
      <c r="C814" s="4"/>
      <c r="E814" s="1" t="s">
        <v>4</v>
      </c>
      <c r="F814" s="5" t="s">
        <v>955</v>
      </c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U814" s="17" t="s">
        <v>2317</v>
      </c>
      <c r="V814" s="18">
        <v>1</v>
      </c>
      <c r="W814" s="47" t="s">
        <v>1019</v>
      </c>
      <c r="X814" s="18"/>
      <c r="Y814" s="18"/>
      <c r="Z814" s="98"/>
      <c r="AA814" s="19"/>
      <c r="AB814" s="19"/>
      <c r="AC814" s="18"/>
    </row>
    <row r="815" spans="1:29" s="7" customFormat="1" outlineLevel="5" x14ac:dyDescent="0.25">
      <c r="A815" s="1" t="s">
        <v>5</v>
      </c>
      <c r="B815" s="1" t="s">
        <v>5</v>
      </c>
      <c r="C815" s="4"/>
      <c r="E815" s="1" t="s">
        <v>5</v>
      </c>
      <c r="F815" s="1" t="s">
        <v>4</v>
      </c>
      <c r="G815" s="13" t="s">
        <v>956</v>
      </c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U815" s="17" t="s">
        <v>2311</v>
      </c>
      <c r="V815" s="18">
        <v>1</v>
      </c>
      <c r="W815" s="47" t="s">
        <v>1019</v>
      </c>
      <c r="X815" s="18"/>
      <c r="Y815" s="24"/>
      <c r="Z815" s="98"/>
      <c r="AA815" s="19"/>
      <c r="AB815" s="19"/>
      <c r="AC815" s="18"/>
    </row>
    <row r="816" spans="1:29" s="7" customFormat="1" outlineLevel="5" x14ac:dyDescent="0.25">
      <c r="A816" s="1" t="s">
        <v>5</v>
      </c>
      <c r="B816" s="1" t="s">
        <v>5</v>
      </c>
      <c r="C816" s="4"/>
      <c r="E816" s="1" t="s">
        <v>5</v>
      </c>
      <c r="F816" s="1" t="s">
        <v>4</v>
      </c>
      <c r="G816" s="13" t="s">
        <v>953</v>
      </c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U816" s="17" t="s">
        <v>952</v>
      </c>
      <c r="V816" s="18">
        <v>2</v>
      </c>
      <c r="W816" s="47" t="s">
        <v>1018</v>
      </c>
      <c r="X816" s="18"/>
      <c r="Y816" s="24" t="s">
        <v>954</v>
      </c>
      <c r="Z816" s="98"/>
      <c r="AA816" s="19">
        <v>22.23</v>
      </c>
      <c r="AB816" s="19"/>
      <c r="AC816" s="18"/>
    </row>
    <row r="817" spans="1:29" s="7" customFormat="1" outlineLevel="5" x14ac:dyDescent="0.25">
      <c r="A817" s="1" t="s">
        <v>5</v>
      </c>
      <c r="B817" s="1" t="s">
        <v>5</v>
      </c>
      <c r="C817" s="4"/>
      <c r="E817" s="1" t="s">
        <v>5</v>
      </c>
      <c r="F817" s="1" t="s">
        <v>4</v>
      </c>
      <c r="G817" s="13" t="s">
        <v>29</v>
      </c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U817" s="17" t="s">
        <v>30</v>
      </c>
      <c r="V817" s="18">
        <v>1</v>
      </c>
      <c r="W817" s="47" t="s">
        <v>1019</v>
      </c>
      <c r="X817" s="18" t="s">
        <v>8</v>
      </c>
      <c r="Y817" s="23" t="s">
        <v>201</v>
      </c>
      <c r="Z817" s="98"/>
      <c r="AA817" s="19"/>
      <c r="AB817" s="19"/>
      <c r="AC817" s="18"/>
    </row>
    <row r="818" spans="1:29" s="7" customFormat="1" outlineLevel="5" x14ac:dyDescent="0.25">
      <c r="A818" s="1" t="s">
        <v>5</v>
      </c>
      <c r="B818" s="1" t="s">
        <v>5</v>
      </c>
      <c r="C818" s="4"/>
      <c r="E818" s="1" t="s">
        <v>5</v>
      </c>
      <c r="F818" s="1" t="s">
        <v>4</v>
      </c>
      <c r="G818" s="13" t="s">
        <v>89</v>
      </c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U818" s="30" t="s">
        <v>169</v>
      </c>
      <c r="V818" s="18">
        <v>1</v>
      </c>
      <c r="W818" s="47" t="s">
        <v>1019</v>
      </c>
      <c r="X818" s="31" t="s">
        <v>171</v>
      </c>
      <c r="Y818" s="32" t="s">
        <v>173</v>
      </c>
      <c r="Z818" s="98"/>
      <c r="AA818" s="19">
        <v>1943.84</v>
      </c>
      <c r="AB818" s="19"/>
      <c r="AC818" s="18"/>
    </row>
    <row r="819" spans="1:29" s="7" customFormat="1" outlineLevel="5" x14ac:dyDescent="0.25">
      <c r="A819" s="50" t="s">
        <v>5</v>
      </c>
      <c r="B819" s="50" t="s">
        <v>5</v>
      </c>
      <c r="C819" s="50"/>
      <c r="D819" s="58"/>
      <c r="E819" s="50" t="s">
        <v>5</v>
      </c>
      <c r="F819" s="50" t="s">
        <v>49</v>
      </c>
      <c r="G819" s="52" t="s">
        <v>1065</v>
      </c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8"/>
      <c r="U819" s="53"/>
      <c r="V819" s="54">
        <v>0.1</v>
      </c>
      <c r="W819" s="55" t="s">
        <v>1018</v>
      </c>
      <c r="X819" s="54"/>
      <c r="Y819" s="60"/>
      <c r="Z819" s="100"/>
      <c r="AA819" s="56"/>
      <c r="AB819" s="56"/>
      <c r="AC819" s="54"/>
    </row>
    <row r="820" spans="1:29" s="7" customFormat="1" outlineLevel="4" x14ac:dyDescent="0.25">
      <c r="A820" s="1" t="s">
        <v>5</v>
      </c>
      <c r="B820" s="1" t="s">
        <v>5</v>
      </c>
      <c r="C820" s="4"/>
      <c r="E820" s="1" t="s">
        <v>49</v>
      </c>
      <c r="F820" s="13" t="s">
        <v>366</v>
      </c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U820" s="17" t="s">
        <v>2323</v>
      </c>
      <c r="V820" s="18">
        <v>1</v>
      </c>
      <c r="W820" s="47" t="s">
        <v>1019</v>
      </c>
      <c r="X820" s="18"/>
      <c r="Y820" s="18"/>
      <c r="Z820" s="98"/>
      <c r="AA820" s="19"/>
      <c r="AB820" s="19"/>
      <c r="AC820" s="18"/>
    </row>
    <row r="821" spans="1:29" s="7" customFormat="1" outlineLevel="1" x14ac:dyDescent="0.25">
      <c r="A821" s="50" t="s">
        <v>5</v>
      </c>
      <c r="B821" s="50" t="s">
        <v>4</v>
      </c>
      <c r="C821" s="51" t="s">
        <v>2144</v>
      </c>
      <c r="D821" s="52"/>
      <c r="E821" s="52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8"/>
      <c r="U821" s="53" t="s">
        <v>2324</v>
      </c>
      <c r="V821" s="54">
        <v>1</v>
      </c>
      <c r="W821" s="55" t="s">
        <v>1019</v>
      </c>
      <c r="X821" s="54"/>
      <c r="Y821" s="54"/>
      <c r="Z821" s="100" t="s">
        <v>1992</v>
      </c>
      <c r="AA821" s="56"/>
      <c r="AB821" s="56"/>
      <c r="AC821" s="54"/>
    </row>
    <row r="822" spans="1:29" s="7" customFormat="1" outlineLevel="1" x14ac:dyDescent="0.25">
      <c r="A822" s="1" t="s">
        <v>5</v>
      </c>
      <c r="B822" s="1" t="s">
        <v>4</v>
      </c>
      <c r="C822" s="5" t="s">
        <v>350</v>
      </c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U822" s="17" t="s">
        <v>2537</v>
      </c>
      <c r="V822" s="18">
        <v>1</v>
      </c>
      <c r="W822" s="47" t="s">
        <v>1019</v>
      </c>
      <c r="X822" s="18"/>
      <c r="Y822" s="18"/>
      <c r="Z822" s="98" t="s">
        <v>1993</v>
      </c>
      <c r="AA822" s="19"/>
      <c r="AB822" s="19"/>
      <c r="AC822" s="18"/>
    </row>
    <row r="823" spans="1:29" s="7" customFormat="1" outlineLevel="2" x14ac:dyDescent="0.25">
      <c r="A823" s="1" t="s">
        <v>5</v>
      </c>
      <c r="B823" s="1" t="s">
        <v>5</v>
      </c>
      <c r="C823" s="1" t="s">
        <v>49</v>
      </c>
      <c r="D823" s="13" t="s">
        <v>361</v>
      </c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U823" s="17" t="s">
        <v>2325</v>
      </c>
      <c r="V823" s="18">
        <v>1</v>
      </c>
      <c r="W823" s="47" t="s">
        <v>1019</v>
      </c>
      <c r="X823" s="18"/>
      <c r="Y823" s="21"/>
      <c r="Z823" s="98"/>
      <c r="AA823" s="19"/>
      <c r="AB823" s="19"/>
      <c r="AC823" s="18"/>
    </row>
    <row r="824" spans="1:29" s="7" customFormat="1" outlineLevel="1" x14ac:dyDescent="0.25">
      <c r="A824" s="1" t="s">
        <v>5</v>
      </c>
      <c r="B824" s="1" t="s">
        <v>4</v>
      </c>
      <c r="C824" s="5" t="s">
        <v>351</v>
      </c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U824" s="17" t="s">
        <v>2538</v>
      </c>
      <c r="V824" s="18">
        <v>1</v>
      </c>
      <c r="W824" s="47" t="s">
        <v>1019</v>
      </c>
      <c r="X824" s="18"/>
      <c r="Y824" s="18"/>
      <c r="Z824" s="98" t="s">
        <v>1994</v>
      </c>
      <c r="AA824" s="19"/>
      <c r="AB824" s="19"/>
      <c r="AC824" s="18"/>
    </row>
    <row r="825" spans="1:29" s="7" customFormat="1" outlineLevel="2" x14ac:dyDescent="0.25">
      <c r="A825" s="1" t="s">
        <v>5</v>
      </c>
      <c r="B825" s="1" t="s">
        <v>5</v>
      </c>
      <c r="C825" s="1" t="s">
        <v>49</v>
      </c>
      <c r="D825" s="13" t="s">
        <v>360</v>
      </c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U825" s="17" t="s">
        <v>2326</v>
      </c>
      <c r="V825" s="18">
        <v>1</v>
      </c>
      <c r="W825" s="47" t="s">
        <v>1019</v>
      </c>
      <c r="X825" s="18"/>
      <c r="Y825" s="21"/>
      <c r="Z825" s="98"/>
      <c r="AA825" s="19"/>
      <c r="AB825" s="19"/>
      <c r="AC825" s="18"/>
    </row>
    <row r="826" spans="1:29" s="7" customFormat="1" outlineLevel="1" x14ac:dyDescent="0.25">
      <c r="A826" s="1" t="s">
        <v>5</v>
      </c>
      <c r="B826" s="1" t="s">
        <v>4</v>
      </c>
      <c r="C826" s="5" t="s">
        <v>352</v>
      </c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U826" s="17" t="s">
        <v>2539</v>
      </c>
      <c r="V826" s="18">
        <v>1</v>
      </c>
      <c r="W826" s="47" t="s">
        <v>1019</v>
      </c>
      <c r="X826" s="18"/>
      <c r="Y826" s="18"/>
      <c r="Z826" s="98" t="s">
        <v>1995</v>
      </c>
      <c r="AA826" s="19"/>
      <c r="AB826" s="19"/>
      <c r="AC826" s="18"/>
    </row>
    <row r="827" spans="1:29" s="7" customFormat="1" outlineLevel="2" x14ac:dyDescent="0.25">
      <c r="A827" s="1" t="s">
        <v>5</v>
      </c>
      <c r="B827" s="1" t="s">
        <v>5</v>
      </c>
      <c r="C827" s="1" t="s">
        <v>4</v>
      </c>
      <c r="D827" s="13" t="s">
        <v>358</v>
      </c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U827" s="17" t="s">
        <v>2540</v>
      </c>
      <c r="V827" s="18">
        <v>1</v>
      </c>
      <c r="W827" s="47" t="s">
        <v>1019</v>
      </c>
      <c r="X827" s="18"/>
      <c r="Y827" s="18"/>
      <c r="Z827" s="98"/>
      <c r="AA827" s="19"/>
      <c r="AB827" s="19"/>
      <c r="AC827" s="18"/>
    </row>
    <row r="828" spans="1:29" s="7" customFormat="1" outlineLevel="2" x14ac:dyDescent="0.25">
      <c r="A828" s="1" t="s">
        <v>5</v>
      </c>
      <c r="B828" s="1" t="s">
        <v>5</v>
      </c>
      <c r="C828" s="1" t="s">
        <v>4</v>
      </c>
      <c r="D828" s="13" t="s">
        <v>211</v>
      </c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U828" s="17" t="s">
        <v>2541</v>
      </c>
      <c r="V828" s="18">
        <v>1</v>
      </c>
      <c r="W828" s="47" t="s">
        <v>1019</v>
      </c>
      <c r="X828" s="18"/>
      <c r="Y828" s="18"/>
      <c r="Z828" s="98"/>
      <c r="AA828" s="19"/>
      <c r="AB828" s="19"/>
      <c r="AC828" s="18"/>
    </row>
    <row r="829" spans="1:29" s="7" customFormat="1" outlineLevel="2" x14ac:dyDescent="0.25">
      <c r="A829" s="1" t="s">
        <v>5</v>
      </c>
      <c r="B829" s="1" t="s">
        <v>5</v>
      </c>
      <c r="C829" s="1" t="s">
        <v>4</v>
      </c>
      <c r="D829" s="13" t="s">
        <v>211</v>
      </c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U829" s="17" t="s">
        <v>2542</v>
      </c>
      <c r="V829" s="18">
        <v>1</v>
      </c>
      <c r="W829" s="47" t="s">
        <v>1019</v>
      </c>
      <c r="X829" s="18"/>
      <c r="Y829" s="21"/>
      <c r="Z829" s="98"/>
      <c r="AA829" s="19"/>
      <c r="AB829" s="19"/>
      <c r="AC829" s="18"/>
    </row>
    <row r="830" spans="1:29" s="7" customFormat="1" outlineLevel="2" x14ac:dyDescent="0.25">
      <c r="A830" s="1" t="s">
        <v>5</v>
      </c>
      <c r="B830" s="1" t="s">
        <v>5</v>
      </c>
      <c r="C830" s="1" t="s">
        <v>49</v>
      </c>
      <c r="D830" s="13" t="s">
        <v>359</v>
      </c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U830" s="17" t="s">
        <v>2327</v>
      </c>
      <c r="V830" s="18">
        <v>1</v>
      </c>
      <c r="W830" s="47" t="s">
        <v>1019</v>
      </c>
      <c r="X830" s="18"/>
      <c r="Y830" s="21"/>
      <c r="Z830" s="98"/>
      <c r="AA830" s="19"/>
      <c r="AB830" s="19"/>
      <c r="AC830" s="18"/>
    </row>
    <row r="831" spans="1:29" s="7" customFormat="1" outlineLevel="1" x14ac:dyDescent="0.25">
      <c r="A831" s="1" t="s">
        <v>5</v>
      </c>
      <c r="B831" s="1" t="s">
        <v>4</v>
      </c>
      <c r="C831" s="5" t="s">
        <v>353</v>
      </c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U831" s="17" t="s">
        <v>2543</v>
      </c>
      <c r="V831" s="18">
        <v>1</v>
      </c>
      <c r="W831" s="47" t="s">
        <v>1019</v>
      </c>
      <c r="X831" s="18"/>
      <c r="Y831" s="18"/>
      <c r="Z831" s="98" t="s">
        <v>1996</v>
      </c>
      <c r="AA831" s="19"/>
      <c r="AB831" s="19"/>
      <c r="AC831" s="18"/>
    </row>
    <row r="832" spans="1:29" s="7" customFormat="1" outlineLevel="2" x14ac:dyDescent="0.25">
      <c r="A832" s="1" t="s">
        <v>5</v>
      </c>
      <c r="B832" s="1" t="s">
        <v>5</v>
      </c>
      <c r="C832" s="1" t="s">
        <v>4</v>
      </c>
      <c r="D832" s="42" t="s">
        <v>354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U832" s="17"/>
      <c r="V832" s="18">
        <v>1</v>
      </c>
      <c r="W832" s="47" t="s">
        <v>1019</v>
      </c>
      <c r="X832" s="18"/>
      <c r="Y832" s="18"/>
      <c r="Z832" s="98"/>
      <c r="AA832" s="19"/>
      <c r="AB832" s="19"/>
      <c r="AC832" s="18"/>
    </row>
    <row r="833" spans="1:29" s="7" customFormat="1" outlineLevel="2" x14ac:dyDescent="0.25">
      <c r="A833" s="1" t="s">
        <v>5</v>
      </c>
      <c r="B833" s="1" t="s">
        <v>5</v>
      </c>
      <c r="C833" s="1" t="s">
        <v>4</v>
      </c>
      <c r="D833" s="13" t="s">
        <v>355</v>
      </c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U833" s="17" t="s">
        <v>2328</v>
      </c>
      <c r="V833" s="18">
        <v>1</v>
      </c>
      <c r="W833" s="47" t="s">
        <v>1019</v>
      </c>
      <c r="X833" s="18"/>
      <c r="Y833" s="18"/>
      <c r="Z833" s="98"/>
      <c r="AA833" s="19"/>
      <c r="AB833" s="19"/>
      <c r="AC833" s="18"/>
    </row>
    <row r="834" spans="1:29" s="7" customFormat="1" outlineLevel="2" x14ac:dyDescent="0.25">
      <c r="A834" s="1" t="s">
        <v>5</v>
      </c>
      <c r="B834" s="1" t="s">
        <v>5</v>
      </c>
      <c r="C834" s="1" t="s">
        <v>4</v>
      </c>
      <c r="D834" s="42" t="s">
        <v>356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U834" s="17"/>
      <c r="V834" s="18">
        <v>1</v>
      </c>
      <c r="W834" s="47" t="s">
        <v>1019</v>
      </c>
      <c r="X834" s="18"/>
      <c r="Y834" s="21"/>
      <c r="Z834" s="98"/>
      <c r="AA834" s="19"/>
      <c r="AB834" s="19"/>
      <c r="AC834" s="18"/>
    </row>
    <row r="835" spans="1:29" s="7" customFormat="1" outlineLevel="2" x14ac:dyDescent="0.25">
      <c r="A835" s="1" t="s">
        <v>5</v>
      </c>
      <c r="B835" s="1" t="s">
        <v>5</v>
      </c>
      <c r="C835" s="1" t="s">
        <v>49</v>
      </c>
      <c r="D835" s="13" t="s">
        <v>357</v>
      </c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U835" s="17" t="s">
        <v>2329</v>
      </c>
      <c r="V835" s="18">
        <v>1</v>
      </c>
      <c r="W835" s="47" t="s">
        <v>1019</v>
      </c>
      <c r="X835" s="18"/>
      <c r="Y835" s="21"/>
      <c r="Z835" s="98"/>
      <c r="AA835" s="19"/>
      <c r="AB835" s="19"/>
      <c r="AC835" s="18"/>
    </row>
    <row r="836" spans="1:29" s="7" customFormat="1" outlineLevel="1" x14ac:dyDescent="0.25">
      <c r="A836" s="50" t="s">
        <v>5</v>
      </c>
      <c r="B836" s="50" t="s">
        <v>4</v>
      </c>
      <c r="C836" s="51" t="s">
        <v>1006</v>
      </c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8"/>
      <c r="U836" s="53" t="s">
        <v>2544</v>
      </c>
      <c r="V836" s="54">
        <v>1</v>
      </c>
      <c r="W836" s="55" t="s">
        <v>1019</v>
      </c>
      <c r="X836" s="54"/>
      <c r="Y836" s="54"/>
      <c r="Z836" s="100" t="s">
        <v>1997</v>
      </c>
      <c r="AA836" s="56"/>
      <c r="AB836" s="56"/>
      <c r="AC836" s="54"/>
    </row>
    <row r="837" spans="1:29" s="7" customFormat="1" outlineLevel="1" x14ac:dyDescent="0.25">
      <c r="A837" s="50" t="s">
        <v>5</v>
      </c>
      <c r="B837" s="50" t="s">
        <v>4</v>
      </c>
      <c r="C837" s="51" t="s">
        <v>1005</v>
      </c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8"/>
      <c r="U837" s="53" t="s">
        <v>2545</v>
      </c>
      <c r="V837" s="54">
        <v>1</v>
      </c>
      <c r="W837" s="55" t="s">
        <v>1019</v>
      </c>
      <c r="X837" s="54"/>
      <c r="Y837" s="54"/>
      <c r="Z837" s="100" t="s">
        <v>1998</v>
      </c>
      <c r="AA837" s="56"/>
      <c r="AB837" s="56"/>
      <c r="AC837" s="54"/>
    </row>
    <row r="838" spans="1:29" s="7" customFormat="1" outlineLevel="1" x14ac:dyDescent="0.25">
      <c r="A838" s="1" t="s">
        <v>5</v>
      </c>
      <c r="B838" s="1" t="s">
        <v>4</v>
      </c>
      <c r="C838" s="5" t="s">
        <v>135</v>
      </c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7" t="s">
        <v>2330</v>
      </c>
      <c r="V838" s="18">
        <v>1</v>
      </c>
      <c r="W838" s="47" t="s">
        <v>1019</v>
      </c>
      <c r="X838" s="18"/>
      <c r="Y838" s="18"/>
      <c r="Z838" s="98" t="s">
        <v>2010</v>
      </c>
      <c r="AA838" s="19"/>
      <c r="AB838" s="19"/>
      <c r="AC838" s="18"/>
    </row>
    <row r="839" spans="1:29" s="7" customFormat="1" outlineLevel="2" x14ac:dyDescent="0.25">
      <c r="A839" s="1" t="s">
        <v>5</v>
      </c>
      <c r="B839" s="1" t="s">
        <v>5</v>
      </c>
      <c r="C839" s="1" t="s">
        <v>4</v>
      </c>
      <c r="D839" s="5" t="s">
        <v>617</v>
      </c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U839" s="17" t="s">
        <v>2331</v>
      </c>
      <c r="V839" s="18">
        <v>1</v>
      </c>
      <c r="W839" s="47" t="s">
        <v>1019</v>
      </c>
      <c r="X839" s="18" t="s">
        <v>175</v>
      </c>
      <c r="Y839" s="18"/>
      <c r="Z839" s="98"/>
      <c r="AA839" s="19">
        <v>1100</v>
      </c>
      <c r="AB839" s="19"/>
      <c r="AC839" s="18"/>
    </row>
    <row r="840" spans="1:29" s="7" customFormat="1" outlineLevel="3" x14ac:dyDescent="0.25">
      <c r="A840" s="1" t="s">
        <v>5</v>
      </c>
      <c r="B840" s="1" t="s">
        <v>5</v>
      </c>
      <c r="C840" s="1" t="s">
        <v>5</v>
      </c>
      <c r="D840" s="1" t="s">
        <v>4</v>
      </c>
      <c r="E840" s="13" t="s">
        <v>141</v>
      </c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U840" s="17" t="s">
        <v>2332</v>
      </c>
      <c r="V840" s="18">
        <v>1</v>
      </c>
      <c r="W840" s="47" t="s">
        <v>1019</v>
      </c>
      <c r="X840" s="18"/>
      <c r="Y840" s="18"/>
      <c r="Z840" s="98"/>
      <c r="AA840" s="19"/>
      <c r="AB840" s="19"/>
      <c r="AC840" s="18"/>
    </row>
    <row r="841" spans="1:29" s="7" customFormat="1" outlineLevel="3" x14ac:dyDescent="0.25">
      <c r="A841" s="1" t="s">
        <v>5</v>
      </c>
      <c r="B841" s="1" t="s">
        <v>5</v>
      </c>
      <c r="C841" s="1" t="s">
        <v>5</v>
      </c>
      <c r="D841" s="1" t="s">
        <v>4</v>
      </c>
      <c r="E841" s="13" t="s">
        <v>237</v>
      </c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U841" s="17" t="s">
        <v>238</v>
      </c>
      <c r="V841" s="18">
        <v>1</v>
      </c>
      <c r="W841" s="47" t="s">
        <v>1019</v>
      </c>
      <c r="X841" s="18"/>
      <c r="Y841" s="18"/>
      <c r="Z841" s="98"/>
      <c r="AA841" s="19"/>
      <c r="AB841" s="19"/>
      <c r="AC841" s="18"/>
    </row>
    <row r="842" spans="1:29" s="7" customFormat="1" outlineLevel="3" x14ac:dyDescent="0.25">
      <c r="A842" s="1" t="s">
        <v>5</v>
      </c>
      <c r="B842" s="1" t="s">
        <v>5</v>
      </c>
      <c r="C842" s="1" t="s">
        <v>5</v>
      </c>
      <c r="D842" s="1" t="s">
        <v>4</v>
      </c>
      <c r="E842" s="13" t="s">
        <v>239</v>
      </c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U842" s="17" t="s">
        <v>240</v>
      </c>
      <c r="V842" s="18">
        <v>1</v>
      </c>
      <c r="W842" s="47" t="s">
        <v>1019</v>
      </c>
      <c r="X842" s="18"/>
      <c r="Y842" s="18"/>
      <c r="Z842" s="98"/>
      <c r="AA842" s="19"/>
      <c r="AB842" s="19"/>
      <c r="AC842" s="18"/>
    </row>
    <row r="843" spans="1:29" s="7" customFormat="1" outlineLevel="3" x14ac:dyDescent="0.25">
      <c r="A843" s="1" t="s">
        <v>5</v>
      </c>
      <c r="B843" s="1" t="s">
        <v>5</v>
      </c>
      <c r="C843" s="1" t="s">
        <v>5</v>
      </c>
      <c r="D843" s="1" t="s">
        <v>4</v>
      </c>
      <c r="E843" s="13" t="s">
        <v>241</v>
      </c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U843" s="17" t="s">
        <v>242</v>
      </c>
      <c r="V843" s="18">
        <v>2</v>
      </c>
      <c r="W843" s="47" t="s">
        <v>1019</v>
      </c>
      <c r="X843" s="18"/>
      <c r="Y843" s="18"/>
      <c r="Z843" s="98"/>
      <c r="AA843" s="19"/>
      <c r="AB843" s="19"/>
      <c r="AC843" s="18"/>
    </row>
    <row r="844" spans="1:29" s="7" customFormat="1" outlineLevel="3" x14ac:dyDescent="0.25">
      <c r="A844" s="1" t="s">
        <v>5</v>
      </c>
      <c r="B844" s="1" t="s">
        <v>5</v>
      </c>
      <c r="C844" s="1" t="s">
        <v>5</v>
      </c>
      <c r="D844" s="1" t="s">
        <v>4</v>
      </c>
      <c r="E844" s="13" t="s">
        <v>243</v>
      </c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U844" s="17" t="s">
        <v>244</v>
      </c>
      <c r="V844" s="18">
        <v>1</v>
      </c>
      <c r="W844" s="47" t="s">
        <v>1019</v>
      </c>
      <c r="X844" s="18"/>
      <c r="Y844" s="18"/>
      <c r="Z844" s="98"/>
      <c r="AA844" s="19"/>
      <c r="AB844" s="19"/>
      <c r="AC844" s="18"/>
    </row>
    <row r="845" spans="1:29" s="7" customFormat="1" outlineLevel="3" x14ac:dyDescent="0.25">
      <c r="A845" s="1" t="s">
        <v>5</v>
      </c>
      <c r="B845" s="1" t="s">
        <v>5</v>
      </c>
      <c r="C845" s="1" t="s">
        <v>5</v>
      </c>
      <c r="D845" s="1" t="s">
        <v>4</v>
      </c>
      <c r="E845" s="13" t="s">
        <v>245</v>
      </c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U845" s="17" t="s">
        <v>246</v>
      </c>
      <c r="V845" s="18">
        <v>1</v>
      </c>
      <c r="W845" s="47" t="s">
        <v>1019</v>
      </c>
      <c r="X845" s="18"/>
      <c r="Y845" s="18"/>
      <c r="Z845" s="98"/>
      <c r="AA845" s="19"/>
      <c r="AB845" s="19"/>
      <c r="AC845" s="18"/>
    </row>
    <row r="846" spans="1:29" s="7" customFormat="1" outlineLevel="3" x14ac:dyDescent="0.25">
      <c r="A846" s="1" t="s">
        <v>5</v>
      </c>
      <c r="B846" s="1" t="s">
        <v>5</v>
      </c>
      <c r="C846" s="1" t="s">
        <v>5</v>
      </c>
      <c r="D846" s="1" t="s">
        <v>4</v>
      </c>
      <c r="E846" s="13" t="s">
        <v>247</v>
      </c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U846" s="17" t="s">
        <v>248</v>
      </c>
      <c r="V846" s="18">
        <v>1</v>
      </c>
      <c r="W846" s="47" t="s">
        <v>1019</v>
      </c>
      <c r="X846" s="18"/>
      <c r="Y846" s="18"/>
      <c r="Z846" s="98"/>
      <c r="AA846" s="19"/>
      <c r="AB846" s="19"/>
      <c r="AC846" s="18"/>
    </row>
    <row r="847" spans="1:29" s="7" customFormat="1" outlineLevel="3" x14ac:dyDescent="0.25">
      <c r="A847" s="1" t="s">
        <v>5</v>
      </c>
      <c r="B847" s="1" t="s">
        <v>5</v>
      </c>
      <c r="C847" s="1" t="s">
        <v>5</v>
      </c>
      <c r="D847" s="1" t="s">
        <v>4</v>
      </c>
      <c r="E847" s="13" t="s">
        <v>249</v>
      </c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U847" s="17" t="s">
        <v>250</v>
      </c>
      <c r="V847" s="18">
        <v>1</v>
      </c>
      <c r="W847" s="47" t="s">
        <v>1019</v>
      </c>
      <c r="X847" s="18"/>
      <c r="Y847" s="18"/>
      <c r="Z847" s="98"/>
      <c r="AA847" s="19"/>
      <c r="AB847" s="19"/>
      <c r="AC847" s="18"/>
    </row>
    <row r="848" spans="1:29" s="7" customFormat="1" outlineLevel="3" x14ac:dyDescent="0.25">
      <c r="A848" s="1" t="s">
        <v>5</v>
      </c>
      <c r="B848" s="1" t="s">
        <v>5</v>
      </c>
      <c r="C848" s="1" t="s">
        <v>5</v>
      </c>
      <c r="D848" s="1" t="s">
        <v>4</v>
      </c>
      <c r="E848" s="13" t="s">
        <v>251</v>
      </c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U848" s="17" t="s">
        <v>252</v>
      </c>
      <c r="V848" s="18">
        <v>1</v>
      </c>
      <c r="W848" s="47" t="s">
        <v>1019</v>
      </c>
      <c r="X848" s="18"/>
      <c r="Y848" s="18"/>
      <c r="Z848" s="98"/>
      <c r="AA848" s="19"/>
      <c r="AB848" s="19"/>
      <c r="AC848" s="18"/>
    </row>
    <row r="849" spans="1:29" s="7" customFormat="1" outlineLevel="3" x14ac:dyDescent="0.25">
      <c r="A849" s="1" t="s">
        <v>5</v>
      </c>
      <c r="B849" s="1" t="s">
        <v>5</v>
      </c>
      <c r="C849" s="1" t="s">
        <v>5</v>
      </c>
      <c r="D849" s="1" t="s">
        <v>4</v>
      </c>
      <c r="E849" s="13" t="s">
        <v>253</v>
      </c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U849" s="17" t="s">
        <v>254</v>
      </c>
      <c r="V849" s="18">
        <v>1</v>
      </c>
      <c r="W849" s="47" t="s">
        <v>1019</v>
      </c>
      <c r="X849" s="18"/>
      <c r="Y849" s="18"/>
      <c r="Z849" s="98"/>
      <c r="AA849" s="19"/>
      <c r="AB849" s="19"/>
      <c r="AC849" s="18"/>
    </row>
    <row r="850" spans="1:29" s="7" customFormat="1" outlineLevel="3" x14ac:dyDescent="0.25">
      <c r="A850" s="1" t="s">
        <v>5</v>
      </c>
      <c r="B850" s="1" t="s">
        <v>5</v>
      </c>
      <c r="C850" s="1" t="s">
        <v>5</v>
      </c>
      <c r="D850" s="1" t="s">
        <v>4</v>
      </c>
      <c r="E850" s="13" t="s">
        <v>255</v>
      </c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U850" s="17" t="s">
        <v>256</v>
      </c>
      <c r="V850" s="18">
        <v>1</v>
      </c>
      <c r="W850" s="47" t="s">
        <v>1019</v>
      </c>
      <c r="X850" s="18"/>
      <c r="Y850" s="18"/>
      <c r="Z850" s="98"/>
      <c r="AA850" s="19"/>
      <c r="AB850" s="19"/>
      <c r="AC850" s="18"/>
    </row>
    <row r="851" spans="1:29" s="7" customFormat="1" outlineLevel="3" x14ac:dyDescent="0.25">
      <c r="A851" s="1" t="s">
        <v>5</v>
      </c>
      <c r="B851" s="1" t="s">
        <v>5</v>
      </c>
      <c r="C851" s="1" t="s">
        <v>5</v>
      </c>
      <c r="D851" s="1" t="s">
        <v>4</v>
      </c>
      <c r="E851" s="13" t="s">
        <v>257</v>
      </c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U851" s="17" t="s">
        <v>258</v>
      </c>
      <c r="V851" s="18">
        <v>1</v>
      </c>
      <c r="W851" s="47" t="s">
        <v>1019</v>
      </c>
      <c r="X851" s="18"/>
      <c r="Y851" s="18"/>
      <c r="Z851" s="98"/>
      <c r="AA851" s="19"/>
      <c r="AB851" s="19"/>
      <c r="AC851" s="18"/>
    </row>
    <row r="852" spans="1:29" s="7" customFormat="1" outlineLevel="3" x14ac:dyDescent="0.25">
      <c r="A852" s="1" t="s">
        <v>5</v>
      </c>
      <c r="B852" s="1" t="s">
        <v>5</v>
      </c>
      <c r="C852" s="1" t="s">
        <v>5</v>
      </c>
      <c r="D852" s="1" t="s">
        <v>4</v>
      </c>
      <c r="E852" s="13" t="s">
        <v>259</v>
      </c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U852" s="17" t="s">
        <v>260</v>
      </c>
      <c r="V852" s="18">
        <v>1</v>
      </c>
      <c r="W852" s="47" t="s">
        <v>1019</v>
      </c>
      <c r="X852" s="18"/>
      <c r="Y852" s="18"/>
      <c r="Z852" s="98"/>
      <c r="AA852" s="19"/>
      <c r="AB852" s="19"/>
      <c r="AC852" s="18"/>
    </row>
    <row r="853" spans="1:29" s="7" customFormat="1" outlineLevel="3" x14ac:dyDescent="0.25">
      <c r="A853" s="1" t="s">
        <v>5</v>
      </c>
      <c r="B853" s="1" t="s">
        <v>5</v>
      </c>
      <c r="C853" s="1" t="s">
        <v>5</v>
      </c>
      <c r="D853" s="1" t="s">
        <v>4</v>
      </c>
      <c r="E853" s="13" t="s">
        <v>261</v>
      </c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U853" s="17" t="s">
        <v>262</v>
      </c>
      <c r="V853" s="18">
        <v>1</v>
      </c>
      <c r="W853" s="47" t="s">
        <v>1019</v>
      </c>
      <c r="X853" s="18"/>
      <c r="Y853" s="18"/>
      <c r="Z853" s="98"/>
      <c r="AA853" s="19"/>
      <c r="AB853" s="19"/>
      <c r="AC853" s="18"/>
    </row>
    <row r="854" spans="1:29" s="7" customFormat="1" outlineLevel="3" x14ac:dyDescent="0.25">
      <c r="A854" s="1" t="s">
        <v>5</v>
      </c>
      <c r="B854" s="1" t="s">
        <v>5</v>
      </c>
      <c r="C854" s="1" t="s">
        <v>5</v>
      </c>
      <c r="D854" s="1" t="s">
        <v>4</v>
      </c>
      <c r="E854" s="13" t="s">
        <v>263</v>
      </c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U854" s="17" t="s">
        <v>264</v>
      </c>
      <c r="V854" s="18">
        <v>1</v>
      </c>
      <c r="W854" s="47" t="s">
        <v>1019</v>
      </c>
      <c r="X854" s="18"/>
      <c r="Y854" s="18"/>
      <c r="Z854" s="98"/>
      <c r="AA854" s="19"/>
      <c r="AB854" s="19"/>
      <c r="AC854" s="18"/>
    </row>
    <row r="855" spans="1:29" s="7" customFormat="1" outlineLevel="3" x14ac:dyDescent="0.25">
      <c r="A855" s="1" t="s">
        <v>5</v>
      </c>
      <c r="B855" s="1" t="s">
        <v>5</v>
      </c>
      <c r="C855" s="1" t="s">
        <v>5</v>
      </c>
      <c r="D855" s="1" t="s">
        <v>4</v>
      </c>
      <c r="E855" s="13" t="s">
        <v>265</v>
      </c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U855" s="17" t="s">
        <v>266</v>
      </c>
      <c r="V855" s="18">
        <v>2</v>
      </c>
      <c r="W855" s="47" t="s">
        <v>1019</v>
      </c>
      <c r="X855" s="18"/>
      <c r="Y855" s="18"/>
      <c r="Z855" s="98"/>
      <c r="AA855" s="19"/>
      <c r="AB855" s="19"/>
      <c r="AC855" s="18"/>
    </row>
    <row r="856" spans="1:29" s="7" customFormat="1" outlineLevel="3" x14ac:dyDescent="0.25">
      <c r="A856" s="1" t="s">
        <v>5</v>
      </c>
      <c r="B856" s="1" t="s">
        <v>5</v>
      </c>
      <c r="C856" s="1" t="s">
        <v>5</v>
      </c>
      <c r="D856" s="1" t="s">
        <v>4</v>
      </c>
      <c r="E856" s="13" t="s">
        <v>267</v>
      </c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U856" s="17" t="s">
        <v>268</v>
      </c>
      <c r="V856" s="18">
        <v>1</v>
      </c>
      <c r="W856" s="47" t="s">
        <v>1019</v>
      </c>
      <c r="X856" s="18"/>
      <c r="Y856" s="18"/>
      <c r="Z856" s="98"/>
      <c r="AA856" s="19"/>
      <c r="AB856" s="19"/>
      <c r="AC856" s="18"/>
    </row>
    <row r="857" spans="1:29" s="7" customFormat="1" outlineLevel="3" x14ac:dyDescent="0.25">
      <c r="A857" s="1" t="s">
        <v>5</v>
      </c>
      <c r="B857" s="1" t="s">
        <v>5</v>
      </c>
      <c r="C857" s="1" t="s">
        <v>5</v>
      </c>
      <c r="D857" s="1" t="s">
        <v>49</v>
      </c>
      <c r="E857" s="13" t="s">
        <v>269</v>
      </c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U857" s="17" t="s">
        <v>270</v>
      </c>
      <c r="V857" s="18">
        <v>1</v>
      </c>
      <c r="W857" s="47" t="s">
        <v>1019</v>
      </c>
      <c r="X857" s="18"/>
      <c r="Y857" s="18"/>
      <c r="Z857" s="98"/>
      <c r="AA857" s="19"/>
      <c r="AB857" s="19"/>
      <c r="AC857" s="18"/>
    </row>
    <row r="858" spans="1:29" s="7" customFormat="1" outlineLevel="2" x14ac:dyDescent="0.25">
      <c r="A858" s="1" t="s">
        <v>5</v>
      </c>
      <c r="B858" s="1" t="s">
        <v>5</v>
      </c>
      <c r="C858" s="1" t="s">
        <v>4</v>
      </c>
      <c r="D858" s="5" t="s">
        <v>197</v>
      </c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U858" s="17" t="s">
        <v>2333</v>
      </c>
      <c r="V858" s="18">
        <v>1</v>
      </c>
      <c r="W858" s="47" t="s">
        <v>1019</v>
      </c>
      <c r="X858" s="18" t="s">
        <v>175</v>
      </c>
      <c r="Y858" s="21"/>
      <c r="Z858" s="98"/>
      <c r="AA858" s="19"/>
      <c r="AB858" s="19"/>
      <c r="AC858" s="18"/>
    </row>
    <row r="859" spans="1:29" s="7" customFormat="1" outlineLevel="3" x14ac:dyDescent="0.25">
      <c r="A859" s="1" t="s">
        <v>5</v>
      </c>
      <c r="B859" s="1" t="s">
        <v>5</v>
      </c>
      <c r="C859" s="1" t="s">
        <v>5</v>
      </c>
      <c r="D859" s="1" t="s">
        <v>4</v>
      </c>
      <c r="E859" s="13" t="s">
        <v>136</v>
      </c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U859" s="17" t="s">
        <v>137</v>
      </c>
      <c r="V859" s="18">
        <v>1</v>
      </c>
      <c r="W859" s="47" t="s">
        <v>1019</v>
      </c>
      <c r="X859" s="18" t="s">
        <v>138</v>
      </c>
      <c r="Y859" s="21" t="s">
        <v>139</v>
      </c>
      <c r="Z859" s="98"/>
      <c r="AA859" s="19">
        <v>9995</v>
      </c>
      <c r="AB859" s="19"/>
      <c r="AC859" s="18"/>
    </row>
    <row r="860" spans="1:29" s="7" customFormat="1" outlineLevel="3" x14ac:dyDescent="0.25">
      <c r="A860" s="1" t="s">
        <v>5</v>
      </c>
      <c r="B860" s="1" t="s">
        <v>5</v>
      </c>
      <c r="C860" s="1" t="s">
        <v>5</v>
      </c>
      <c r="D860" s="1" t="s">
        <v>4</v>
      </c>
      <c r="E860" s="13" t="s">
        <v>38</v>
      </c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U860" s="17" t="s">
        <v>39</v>
      </c>
      <c r="V860" s="18">
        <v>2</v>
      </c>
      <c r="W860" s="47" t="s">
        <v>1019</v>
      </c>
      <c r="X860" s="18"/>
      <c r="Y860" s="21"/>
      <c r="Z860" s="98"/>
      <c r="AA860" s="19"/>
      <c r="AB860" s="19"/>
      <c r="AC860" s="18"/>
    </row>
    <row r="861" spans="1:29" s="7" customFormat="1" outlineLevel="3" x14ac:dyDescent="0.25">
      <c r="A861" s="1" t="s">
        <v>5</v>
      </c>
      <c r="B861" s="1" t="s">
        <v>5</v>
      </c>
      <c r="C861" s="1" t="s">
        <v>5</v>
      </c>
      <c r="D861" s="1" t="s">
        <v>4</v>
      </c>
      <c r="E861" s="13" t="s">
        <v>226</v>
      </c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U861" s="17" t="s">
        <v>227</v>
      </c>
      <c r="V861" s="18">
        <v>2</v>
      </c>
      <c r="W861" s="47" t="s">
        <v>1019</v>
      </c>
      <c r="X861" s="18"/>
      <c r="Y861" s="21"/>
      <c r="Z861" s="98"/>
      <c r="AA861" s="19"/>
      <c r="AB861" s="19"/>
      <c r="AC861" s="18"/>
    </row>
    <row r="862" spans="1:29" s="7" customFormat="1" outlineLevel="3" x14ac:dyDescent="0.25">
      <c r="A862" s="1" t="s">
        <v>5</v>
      </c>
      <c r="B862" s="1" t="s">
        <v>5</v>
      </c>
      <c r="C862" s="1" t="s">
        <v>5</v>
      </c>
      <c r="D862" s="1" t="s">
        <v>49</v>
      </c>
      <c r="E862" s="13" t="s">
        <v>1061</v>
      </c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U862" s="17"/>
      <c r="V862" s="18">
        <v>0.35</v>
      </c>
      <c r="W862" s="47" t="s">
        <v>1018</v>
      </c>
      <c r="X862" s="18"/>
      <c r="Y862" s="21"/>
      <c r="Z862" s="98"/>
      <c r="AA862" s="19"/>
      <c r="AB862" s="19"/>
      <c r="AC862" s="18"/>
    </row>
    <row r="863" spans="1:29" s="7" customFormat="1" outlineLevel="2" x14ac:dyDescent="0.25">
      <c r="A863" s="1" t="s">
        <v>5</v>
      </c>
      <c r="B863" s="1" t="s">
        <v>5</v>
      </c>
      <c r="C863" s="1" t="s">
        <v>4</v>
      </c>
      <c r="D863" s="5" t="s">
        <v>176</v>
      </c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U863" s="17" t="s">
        <v>2334</v>
      </c>
      <c r="V863" s="18">
        <v>1</v>
      </c>
      <c r="W863" s="47" t="s">
        <v>1019</v>
      </c>
      <c r="X863" s="18" t="s">
        <v>175</v>
      </c>
      <c r="Y863" s="21"/>
      <c r="Z863" s="98"/>
      <c r="AA863" s="19"/>
      <c r="AB863" s="19"/>
      <c r="AC863" s="18"/>
    </row>
    <row r="864" spans="1:29" s="7" customFormat="1" outlineLevel="3" x14ac:dyDescent="0.25">
      <c r="A864" s="1" t="s">
        <v>5</v>
      </c>
      <c r="B864" s="1" t="s">
        <v>5</v>
      </c>
      <c r="C864" s="1" t="s">
        <v>5</v>
      </c>
      <c r="D864" s="1" t="s">
        <v>4</v>
      </c>
      <c r="E864" s="13" t="s">
        <v>1922</v>
      </c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U864" s="17"/>
      <c r="V864" s="18">
        <v>0.13</v>
      </c>
      <c r="W864" s="47" t="s">
        <v>1018</v>
      </c>
      <c r="X864" s="18"/>
      <c r="Y864" s="21"/>
      <c r="Z864" s="98"/>
      <c r="AA864" s="19"/>
      <c r="AB864" s="19"/>
      <c r="AC864" s="18"/>
    </row>
    <row r="865" spans="1:29" s="7" customFormat="1" outlineLevel="3" x14ac:dyDescent="0.25">
      <c r="A865" s="1" t="s">
        <v>5</v>
      </c>
      <c r="B865" s="1" t="s">
        <v>5</v>
      </c>
      <c r="C865" s="1" t="s">
        <v>5</v>
      </c>
      <c r="D865" s="1" t="s">
        <v>4</v>
      </c>
      <c r="E865" s="13" t="s">
        <v>228</v>
      </c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U865" s="17" t="s">
        <v>229</v>
      </c>
      <c r="V865" s="18">
        <v>1</v>
      </c>
      <c r="W865" s="47" t="s">
        <v>1019</v>
      </c>
      <c r="X865" s="18"/>
      <c r="Y865" s="21"/>
      <c r="Z865" s="98"/>
      <c r="AA865" s="19"/>
      <c r="AB865" s="19"/>
      <c r="AC865" s="18"/>
    </row>
    <row r="866" spans="1:29" s="7" customFormat="1" outlineLevel="3" x14ac:dyDescent="0.25">
      <c r="A866" s="1" t="s">
        <v>5</v>
      </c>
      <c r="B866" s="1" t="s">
        <v>5</v>
      </c>
      <c r="C866" s="1" t="s">
        <v>5</v>
      </c>
      <c r="D866" s="1" t="s">
        <v>4</v>
      </c>
      <c r="E866" s="13" t="s">
        <v>41</v>
      </c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U866" s="17" t="s">
        <v>42</v>
      </c>
      <c r="V866" s="18">
        <v>1</v>
      </c>
      <c r="W866" s="47" t="s">
        <v>1019</v>
      </c>
      <c r="X866" s="18"/>
      <c r="Y866" s="21"/>
      <c r="Z866" s="98"/>
      <c r="AA866" s="19"/>
      <c r="AB866" s="19"/>
      <c r="AC866" s="18"/>
    </row>
    <row r="867" spans="1:29" s="7" customFormat="1" outlineLevel="3" x14ac:dyDescent="0.25">
      <c r="A867" s="1" t="s">
        <v>5</v>
      </c>
      <c r="B867" s="1" t="s">
        <v>5</v>
      </c>
      <c r="C867" s="1" t="s">
        <v>5</v>
      </c>
      <c r="D867" s="1" t="s">
        <v>49</v>
      </c>
      <c r="E867" s="13" t="s">
        <v>1924</v>
      </c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U867" s="17"/>
      <c r="V867" s="18">
        <v>0.08</v>
      </c>
      <c r="W867" s="47" t="s">
        <v>1018</v>
      </c>
      <c r="X867" s="18"/>
      <c r="Y867" s="21"/>
      <c r="Z867" s="98"/>
      <c r="AA867" s="19"/>
      <c r="AB867" s="19"/>
      <c r="AC867" s="18"/>
    </row>
    <row r="868" spans="1:29" s="7" customFormat="1" outlineLevel="2" x14ac:dyDescent="0.25">
      <c r="A868" s="1" t="s">
        <v>5</v>
      </c>
      <c r="B868" s="1" t="s">
        <v>5</v>
      </c>
      <c r="C868" s="1" t="s">
        <v>4</v>
      </c>
      <c r="D868" s="5" t="s">
        <v>177</v>
      </c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U868" s="17" t="s">
        <v>2335</v>
      </c>
      <c r="V868" s="18">
        <v>1</v>
      </c>
      <c r="W868" s="47" t="s">
        <v>1019</v>
      </c>
      <c r="X868" s="18" t="s">
        <v>175</v>
      </c>
      <c r="Y868" s="21"/>
      <c r="Z868" s="98"/>
      <c r="AA868" s="19"/>
      <c r="AB868" s="19"/>
      <c r="AC868" s="18"/>
    </row>
    <row r="869" spans="1:29" s="7" customFormat="1" outlineLevel="3" x14ac:dyDescent="0.25">
      <c r="A869" s="1" t="s">
        <v>5</v>
      </c>
      <c r="B869" s="1" t="s">
        <v>5</v>
      </c>
      <c r="C869" s="1" t="s">
        <v>5</v>
      </c>
      <c r="D869" s="1" t="s">
        <v>4</v>
      </c>
      <c r="E869" s="13" t="s">
        <v>230</v>
      </c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U869" s="17" t="s">
        <v>231</v>
      </c>
      <c r="V869" s="18">
        <v>2</v>
      </c>
      <c r="W869" s="47" t="s">
        <v>1019</v>
      </c>
      <c r="X869" s="18"/>
      <c r="Y869" s="21"/>
      <c r="Z869" s="98"/>
      <c r="AA869" s="19"/>
      <c r="AB869" s="19"/>
      <c r="AC869" s="18"/>
    </row>
    <row r="870" spans="1:29" s="7" customFormat="1" outlineLevel="3" x14ac:dyDescent="0.25">
      <c r="A870" s="1" t="s">
        <v>5</v>
      </c>
      <c r="B870" s="1" t="s">
        <v>5</v>
      </c>
      <c r="C870" s="1" t="s">
        <v>5</v>
      </c>
      <c r="D870" s="1" t="s">
        <v>4</v>
      </c>
      <c r="E870" s="13" t="s">
        <v>1917</v>
      </c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U870" s="17"/>
      <c r="V870" s="18">
        <v>0.27</v>
      </c>
      <c r="W870" s="47" t="s">
        <v>1018</v>
      </c>
      <c r="X870" s="18"/>
      <c r="Y870" s="21"/>
      <c r="Z870" s="98"/>
      <c r="AA870" s="19"/>
      <c r="AB870" s="19"/>
      <c r="AC870" s="18"/>
    </row>
    <row r="871" spans="1:29" s="7" customFormat="1" outlineLevel="3" x14ac:dyDescent="0.25">
      <c r="A871" s="1" t="s">
        <v>5</v>
      </c>
      <c r="B871" s="1" t="s">
        <v>5</v>
      </c>
      <c r="C871" s="1" t="s">
        <v>5</v>
      </c>
      <c r="D871" s="1" t="s">
        <v>49</v>
      </c>
      <c r="E871" s="13" t="s">
        <v>1900</v>
      </c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U871" s="17"/>
      <c r="V871" s="18">
        <v>0.23</v>
      </c>
      <c r="W871" s="47" t="s">
        <v>1018</v>
      </c>
      <c r="X871" s="18"/>
      <c r="Y871" s="21"/>
      <c r="Z871" s="98"/>
      <c r="AA871" s="19"/>
      <c r="AB871" s="19"/>
      <c r="AC871" s="18"/>
    </row>
    <row r="872" spans="1:29" s="7" customFormat="1" outlineLevel="2" x14ac:dyDescent="0.25">
      <c r="A872" s="1" t="s">
        <v>5</v>
      </c>
      <c r="B872" s="1" t="s">
        <v>5</v>
      </c>
      <c r="C872" s="1" t="s">
        <v>4</v>
      </c>
      <c r="D872" s="5" t="s">
        <v>178</v>
      </c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U872" s="17" t="s">
        <v>2336</v>
      </c>
      <c r="V872" s="18">
        <v>1</v>
      </c>
      <c r="W872" s="47" t="s">
        <v>1019</v>
      </c>
      <c r="X872" s="18" t="s">
        <v>175</v>
      </c>
      <c r="Y872" s="21"/>
      <c r="Z872" s="98"/>
      <c r="AA872" s="19"/>
      <c r="AB872" s="19"/>
      <c r="AC872" s="18"/>
    </row>
    <row r="873" spans="1:29" s="7" customFormat="1" outlineLevel="3" x14ac:dyDescent="0.25">
      <c r="A873" s="1" t="s">
        <v>5</v>
      </c>
      <c r="B873" s="1" t="s">
        <v>5</v>
      </c>
      <c r="C873" s="1" t="s">
        <v>5</v>
      </c>
      <c r="D873" s="1" t="s">
        <v>4</v>
      </c>
      <c r="E873" s="13" t="s">
        <v>232</v>
      </c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U873" s="17" t="s">
        <v>233</v>
      </c>
      <c r="V873" s="18">
        <v>2</v>
      </c>
      <c r="W873" s="47" t="s">
        <v>1019</v>
      </c>
      <c r="X873" s="18"/>
      <c r="Y873" s="21"/>
      <c r="Z873" s="98"/>
      <c r="AA873" s="19"/>
      <c r="AB873" s="19"/>
      <c r="AC873" s="18"/>
    </row>
    <row r="874" spans="1:29" s="7" customFormat="1" outlineLevel="3" x14ac:dyDescent="0.25">
      <c r="A874" s="1" t="s">
        <v>5</v>
      </c>
      <c r="B874" s="1" t="s">
        <v>5</v>
      </c>
      <c r="C874" s="1" t="s">
        <v>5</v>
      </c>
      <c r="D874" s="1" t="s">
        <v>4</v>
      </c>
      <c r="E874" s="13" t="s">
        <v>226</v>
      </c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U874" s="17" t="s">
        <v>227</v>
      </c>
      <c r="V874" s="18">
        <v>3</v>
      </c>
      <c r="W874" s="47" t="s">
        <v>1019</v>
      </c>
      <c r="X874" s="18"/>
      <c r="Y874" s="21"/>
      <c r="Z874" s="98"/>
      <c r="AA874" s="19"/>
      <c r="AB874" s="19"/>
      <c r="AC874" s="18"/>
    </row>
    <row r="875" spans="1:29" s="7" customFormat="1" outlineLevel="3" x14ac:dyDescent="0.25">
      <c r="A875" s="1" t="s">
        <v>5</v>
      </c>
      <c r="B875" s="1" t="s">
        <v>5</v>
      </c>
      <c r="C875" s="1" t="s">
        <v>5</v>
      </c>
      <c r="D875" s="1" t="s">
        <v>4</v>
      </c>
      <c r="E875" s="13" t="s">
        <v>230</v>
      </c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U875" s="17" t="s">
        <v>231</v>
      </c>
      <c r="V875" s="18">
        <v>2</v>
      </c>
      <c r="W875" s="47" t="s">
        <v>1019</v>
      </c>
      <c r="X875" s="18"/>
      <c r="Y875" s="21"/>
      <c r="Z875" s="98"/>
      <c r="AA875" s="19"/>
      <c r="AB875" s="19"/>
      <c r="AC875" s="18"/>
    </row>
    <row r="876" spans="1:29" s="7" customFormat="1" outlineLevel="3" x14ac:dyDescent="0.25">
      <c r="A876" s="1" t="s">
        <v>5</v>
      </c>
      <c r="B876" s="1" t="s">
        <v>5</v>
      </c>
      <c r="C876" s="1" t="s">
        <v>5</v>
      </c>
      <c r="D876" s="1" t="s">
        <v>4</v>
      </c>
      <c r="E876" s="13" t="s">
        <v>1901</v>
      </c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U876" s="17"/>
      <c r="V876" s="18">
        <v>0.15</v>
      </c>
      <c r="W876" s="47" t="s">
        <v>1018</v>
      </c>
      <c r="X876" s="18"/>
      <c r="Y876" s="21"/>
      <c r="Z876" s="98"/>
      <c r="AA876" s="19"/>
      <c r="AB876" s="19"/>
      <c r="AC876" s="18"/>
    </row>
    <row r="877" spans="1:29" s="7" customFormat="1" outlineLevel="3" x14ac:dyDescent="0.25">
      <c r="A877" s="1" t="s">
        <v>5</v>
      </c>
      <c r="B877" s="1" t="s">
        <v>5</v>
      </c>
      <c r="C877" s="1" t="s">
        <v>5</v>
      </c>
      <c r="D877" s="1" t="s">
        <v>4</v>
      </c>
      <c r="E877" s="13" t="s">
        <v>1902</v>
      </c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U877" s="17"/>
      <c r="V877" s="18">
        <v>0.15</v>
      </c>
      <c r="W877" s="47" t="s">
        <v>1018</v>
      </c>
      <c r="X877" s="18"/>
      <c r="Y877" s="21"/>
      <c r="Z877" s="98"/>
      <c r="AA877" s="19"/>
      <c r="AB877" s="19"/>
      <c r="AC877" s="18"/>
    </row>
    <row r="878" spans="1:29" s="7" customFormat="1" outlineLevel="3" x14ac:dyDescent="0.25">
      <c r="A878" s="1" t="s">
        <v>5</v>
      </c>
      <c r="B878" s="1" t="s">
        <v>5</v>
      </c>
      <c r="C878" s="1" t="s">
        <v>5</v>
      </c>
      <c r="D878" s="1" t="s">
        <v>4</v>
      </c>
      <c r="E878" s="13" t="s">
        <v>1918</v>
      </c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U878" s="17"/>
      <c r="V878" s="18">
        <v>0.16</v>
      </c>
      <c r="W878" s="47" t="s">
        <v>1018</v>
      </c>
      <c r="X878" s="18"/>
      <c r="Y878" s="21"/>
      <c r="Z878" s="98"/>
      <c r="AA878" s="19"/>
      <c r="AB878" s="19"/>
      <c r="AC878" s="18"/>
    </row>
    <row r="879" spans="1:29" s="7" customFormat="1" outlineLevel="3" x14ac:dyDescent="0.25">
      <c r="A879" s="1" t="s">
        <v>5</v>
      </c>
      <c r="B879" s="1" t="s">
        <v>5</v>
      </c>
      <c r="C879" s="1" t="s">
        <v>5</v>
      </c>
      <c r="D879" s="1" t="s">
        <v>4</v>
      </c>
      <c r="E879" s="13" t="s">
        <v>1925</v>
      </c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U879" s="17"/>
      <c r="V879" s="18">
        <v>0.21</v>
      </c>
      <c r="W879" s="47" t="s">
        <v>1018</v>
      </c>
      <c r="X879" s="18"/>
      <c r="Y879" s="21"/>
      <c r="Z879" s="98"/>
      <c r="AA879" s="19"/>
      <c r="AB879" s="19"/>
      <c r="AC879" s="18"/>
    </row>
    <row r="880" spans="1:29" s="7" customFormat="1" outlineLevel="3" x14ac:dyDescent="0.25">
      <c r="A880" s="1" t="s">
        <v>5</v>
      </c>
      <c r="B880" s="1" t="s">
        <v>5</v>
      </c>
      <c r="C880" s="1" t="s">
        <v>5</v>
      </c>
      <c r="D880" s="1" t="s">
        <v>4</v>
      </c>
      <c r="E880" s="13" t="s">
        <v>1061</v>
      </c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U880" s="17"/>
      <c r="V880" s="18">
        <v>0.1</v>
      </c>
      <c r="W880" s="47" t="s">
        <v>1018</v>
      </c>
      <c r="X880" s="18"/>
      <c r="Y880" s="21"/>
      <c r="Z880" s="98"/>
      <c r="AA880" s="19"/>
      <c r="AB880" s="19"/>
      <c r="AC880" s="18"/>
    </row>
    <row r="881" spans="1:29" s="7" customFormat="1" outlineLevel="3" x14ac:dyDescent="0.25">
      <c r="A881" s="1" t="s">
        <v>5</v>
      </c>
      <c r="B881" s="1" t="s">
        <v>5</v>
      </c>
      <c r="C881" s="1" t="s">
        <v>5</v>
      </c>
      <c r="D881" s="1" t="s">
        <v>49</v>
      </c>
      <c r="E881" s="13" t="s">
        <v>1065</v>
      </c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U881" s="17"/>
      <c r="V881" s="18">
        <v>0.1</v>
      </c>
      <c r="W881" s="47" t="s">
        <v>1018</v>
      </c>
      <c r="X881" s="18"/>
      <c r="Y881" s="21"/>
      <c r="Z881" s="98"/>
      <c r="AA881" s="19"/>
      <c r="AB881" s="19"/>
      <c r="AC881" s="18"/>
    </row>
    <row r="882" spans="1:29" s="7" customFormat="1" outlineLevel="2" x14ac:dyDescent="0.25">
      <c r="A882" s="1" t="s">
        <v>5</v>
      </c>
      <c r="B882" s="1" t="s">
        <v>5</v>
      </c>
      <c r="C882" s="1" t="s">
        <v>4</v>
      </c>
      <c r="D882" s="5" t="s">
        <v>179</v>
      </c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U882" s="17" t="s">
        <v>2337</v>
      </c>
      <c r="V882" s="18">
        <v>1</v>
      </c>
      <c r="W882" s="47" t="s">
        <v>1019</v>
      </c>
      <c r="X882" s="18" t="s">
        <v>175</v>
      </c>
      <c r="Y882" s="21"/>
      <c r="Z882" s="98"/>
      <c r="AA882" s="19"/>
      <c r="AB882" s="19"/>
      <c r="AC882" s="18"/>
    </row>
    <row r="883" spans="1:29" s="7" customFormat="1" outlineLevel="3" x14ac:dyDescent="0.25">
      <c r="A883" s="1" t="s">
        <v>5</v>
      </c>
      <c r="B883" s="1" t="s">
        <v>5</v>
      </c>
      <c r="C883" s="1" t="s">
        <v>5</v>
      </c>
      <c r="D883" s="1" t="s">
        <v>4</v>
      </c>
      <c r="E883" s="13" t="s">
        <v>232</v>
      </c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U883" s="17" t="s">
        <v>233</v>
      </c>
      <c r="V883" s="18">
        <v>1</v>
      </c>
      <c r="W883" s="47" t="s">
        <v>1019</v>
      </c>
      <c r="X883" s="18"/>
      <c r="Y883" s="21"/>
      <c r="Z883" s="98"/>
      <c r="AA883" s="19"/>
      <c r="AB883" s="19"/>
      <c r="AC883" s="18"/>
    </row>
    <row r="884" spans="1:29" s="7" customFormat="1" outlineLevel="3" x14ac:dyDescent="0.25">
      <c r="A884" s="1" t="s">
        <v>5</v>
      </c>
      <c r="B884" s="1" t="s">
        <v>5</v>
      </c>
      <c r="C884" s="1" t="s">
        <v>5</v>
      </c>
      <c r="D884" s="1" t="s">
        <v>4</v>
      </c>
      <c r="E884" s="13" t="s">
        <v>226</v>
      </c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U884" s="17" t="s">
        <v>227</v>
      </c>
      <c r="V884" s="18">
        <v>3</v>
      </c>
      <c r="W884" s="47" t="s">
        <v>1019</v>
      </c>
      <c r="X884" s="18"/>
      <c r="Y884" s="21"/>
      <c r="Z884" s="98"/>
      <c r="AA884" s="19"/>
      <c r="AB884" s="19"/>
      <c r="AC884" s="18"/>
    </row>
    <row r="885" spans="1:29" s="7" customFormat="1" outlineLevel="3" x14ac:dyDescent="0.25">
      <c r="A885" s="1" t="s">
        <v>5</v>
      </c>
      <c r="B885" s="1" t="s">
        <v>5</v>
      </c>
      <c r="C885" s="1" t="s">
        <v>5</v>
      </c>
      <c r="D885" s="1" t="s">
        <v>4</v>
      </c>
      <c r="E885" s="13" t="s">
        <v>230</v>
      </c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U885" s="17" t="s">
        <v>231</v>
      </c>
      <c r="V885" s="18">
        <v>1</v>
      </c>
      <c r="W885" s="47" t="s">
        <v>1019</v>
      </c>
      <c r="X885" s="18"/>
      <c r="Y885" s="21"/>
      <c r="Z885" s="98"/>
      <c r="AA885" s="19"/>
      <c r="AB885" s="19"/>
      <c r="AC885" s="18"/>
    </row>
    <row r="886" spans="1:29" s="7" customFormat="1" outlineLevel="3" x14ac:dyDescent="0.25">
      <c r="A886" s="1" t="s">
        <v>5</v>
      </c>
      <c r="B886" s="1" t="s">
        <v>5</v>
      </c>
      <c r="C886" s="1" t="s">
        <v>5</v>
      </c>
      <c r="D886" s="1" t="s">
        <v>4</v>
      </c>
      <c r="E886" s="13" t="s">
        <v>38</v>
      </c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U886" s="17" t="s">
        <v>39</v>
      </c>
      <c r="V886" s="18">
        <v>2</v>
      </c>
      <c r="W886" s="47" t="s">
        <v>1019</v>
      </c>
      <c r="X886" s="18"/>
      <c r="Y886" s="21"/>
      <c r="Z886" s="98"/>
      <c r="AA886" s="19"/>
      <c r="AB886" s="19"/>
      <c r="AC886" s="18"/>
    </row>
    <row r="887" spans="1:29" s="7" customFormat="1" outlineLevel="3" x14ac:dyDescent="0.25">
      <c r="A887" s="1" t="s">
        <v>5</v>
      </c>
      <c r="B887" s="1" t="s">
        <v>5</v>
      </c>
      <c r="C887" s="1" t="s">
        <v>5</v>
      </c>
      <c r="D887" s="1" t="s">
        <v>4</v>
      </c>
      <c r="E887" s="13" t="s">
        <v>1901</v>
      </c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U887" s="17"/>
      <c r="V887" s="18">
        <v>0.28000000000000003</v>
      </c>
      <c r="W887" s="47" t="s">
        <v>1018</v>
      </c>
      <c r="X887" s="18"/>
      <c r="Y887" s="21"/>
      <c r="Z887" s="98"/>
      <c r="AA887" s="19"/>
      <c r="AB887" s="19"/>
      <c r="AC887" s="18"/>
    </row>
    <row r="888" spans="1:29" s="7" customFormat="1" outlineLevel="3" x14ac:dyDescent="0.25">
      <c r="A888" s="1" t="s">
        <v>5</v>
      </c>
      <c r="B888" s="1" t="s">
        <v>5</v>
      </c>
      <c r="C888" s="1" t="s">
        <v>5</v>
      </c>
      <c r="D888" s="1" t="s">
        <v>4</v>
      </c>
      <c r="E888" s="13" t="s">
        <v>1926</v>
      </c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U888" s="17"/>
      <c r="V888" s="18">
        <v>0.28000000000000003</v>
      </c>
      <c r="W888" s="47" t="s">
        <v>1018</v>
      </c>
      <c r="X888" s="18"/>
      <c r="Y888" s="21"/>
      <c r="Z888" s="98"/>
      <c r="AA888" s="19"/>
      <c r="AB888" s="19"/>
      <c r="AC888" s="18"/>
    </row>
    <row r="889" spans="1:29" s="7" customFormat="1" outlineLevel="3" x14ac:dyDescent="0.25">
      <c r="A889" s="1" t="s">
        <v>5</v>
      </c>
      <c r="B889" s="1" t="s">
        <v>5</v>
      </c>
      <c r="C889" s="1" t="s">
        <v>5</v>
      </c>
      <c r="D889" s="1" t="s">
        <v>4</v>
      </c>
      <c r="E889" s="13" t="s">
        <v>1925</v>
      </c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U889" s="17"/>
      <c r="V889" s="18">
        <v>0.43</v>
      </c>
      <c r="W889" s="47" t="s">
        <v>1018</v>
      </c>
      <c r="X889" s="18"/>
      <c r="Y889" s="21"/>
      <c r="Z889" s="98"/>
      <c r="AA889" s="19"/>
      <c r="AB889" s="19"/>
      <c r="AC889" s="18"/>
    </row>
    <row r="890" spans="1:29" s="7" customFormat="1" outlineLevel="3" x14ac:dyDescent="0.25">
      <c r="A890" s="1" t="s">
        <v>5</v>
      </c>
      <c r="B890" s="1" t="s">
        <v>5</v>
      </c>
      <c r="C890" s="1" t="s">
        <v>5</v>
      </c>
      <c r="D890" s="1" t="s">
        <v>4</v>
      </c>
      <c r="E890" s="13" t="s">
        <v>1061</v>
      </c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U890" s="17"/>
      <c r="V890" s="18">
        <v>0.2</v>
      </c>
      <c r="W890" s="47" t="s">
        <v>1018</v>
      </c>
      <c r="X890" s="18"/>
      <c r="Y890" s="21"/>
      <c r="Z890" s="98"/>
      <c r="AA890" s="19"/>
      <c r="AB890" s="19"/>
      <c r="AC890" s="18"/>
    </row>
    <row r="891" spans="1:29" s="7" customFormat="1" outlineLevel="3" x14ac:dyDescent="0.25">
      <c r="A891" s="1" t="s">
        <v>5</v>
      </c>
      <c r="B891" s="1" t="s">
        <v>5</v>
      </c>
      <c r="C891" s="1" t="s">
        <v>5</v>
      </c>
      <c r="D891" s="1" t="s">
        <v>49</v>
      </c>
      <c r="E891" s="13" t="s">
        <v>1065</v>
      </c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U891" s="17"/>
      <c r="V891" s="18">
        <v>0.23</v>
      </c>
      <c r="W891" s="47" t="s">
        <v>1018</v>
      </c>
      <c r="X891" s="18"/>
      <c r="Y891" s="21"/>
      <c r="Z891" s="98"/>
      <c r="AA891" s="19"/>
      <c r="AB891" s="19"/>
      <c r="AC891" s="18"/>
    </row>
    <row r="892" spans="1:29" s="7" customFormat="1" outlineLevel="2" x14ac:dyDescent="0.25">
      <c r="A892" s="1" t="s">
        <v>5</v>
      </c>
      <c r="B892" s="1" t="s">
        <v>5</v>
      </c>
      <c r="C892" s="1" t="s">
        <v>4</v>
      </c>
      <c r="D892" s="5" t="s">
        <v>236</v>
      </c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U892" s="17" t="s">
        <v>2338</v>
      </c>
      <c r="V892" s="18">
        <v>1</v>
      </c>
      <c r="W892" s="47" t="s">
        <v>1019</v>
      </c>
      <c r="X892" s="18" t="s">
        <v>175</v>
      </c>
      <c r="Y892" s="21"/>
      <c r="Z892" s="98"/>
      <c r="AA892" s="19"/>
      <c r="AB892" s="19"/>
      <c r="AC892" s="18"/>
    </row>
    <row r="893" spans="1:29" s="7" customFormat="1" outlineLevel="3" x14ac:dyDescent="0.25">
      <c r="A893" s="1" t="s">
        <v>5</v>
      </c>
      <c r="B893" s="1" t="s">
        <v>5</v>
      </c>
      <c r="C893" s="1" t="s">
        <v>5</v>
      </c>
      <c r="D893" s="1" t="s">
        <v>4</v>
      </c>
      <c r="E893" s="13" t="s">
        <v>228</v>
      </c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U893" s="17" t="s">
        <v>229</v>
      </c>
      <c r="V893" s="18">
        <v>2</v>
      </c>
      <c r="W893" s="47" t="s">
        <v>1019</v>
      </c>
      <c r="X893" s="18"/>
      <c r="Y893" s="21"/>
      <c r="Z893" s="98"/>
      <c r="AA893" s="19"/>
      <c r="AB893" s="19"/>
      <c r="AC893" s="18"/>
    </row>
    <row r="894" spans="1:29" s="7" customFormat="1" outlineLevel="3" x14ac:dyDescent="0.25">
      <c r="A894" s="1" t="s">
        <v>5</v>
      </c>
      <c r="B894" s="1" t="s">
        <v>5</v>
      </c>
      <c r="C894" s="1" t="s">
        <v>5</v>
      </c>
      <c r="D894" s="1" t="s">
        <v>4</v>
      </c>
      <c r="E894" s="13" t="s">
        <v>226</v>
      </c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U894" s="17" t="s">
        <v>227</v>
      </c>
      <c r="V894" s="18">
        <v>2</v>
      </c>
      <c r="W894" s="47" t="s">
        <v>1019</v>
      </c>
      <c r="X894" s="18"/>
      <c r="Y894" s="21"/>
      <c r="Z894" s="98"/>
      <c r="AA894" s="19"/>
      <c r="AB894" s="19"/>
      <c r="AC894" s="18"/>
    </row>
    <row r="895" spans="1:29" s="7" customFormat="1" outlineLevel="3" x14ac:dyDescent="0.25">
      <c r="A895" s="1" t="s">
        <v>5</v>
      </c>
      <c r="B895" s="1" t="s">
        <v>5</v>
      </c>
      <c r="C895" s="1" t="s">
        <v>5</v>
      </c>
      <c r="D895" s="1" t="s">
        <v>4</v>
      </c>
      <c r="E895" s="13" t="s">
        <v>1901</v>
      </c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U895" s="17"/>
      <c r="V895" s="18">
        <v>0.35</v>
      </c>
      <c r="W895" s="47" t="s">
        <v>1018</v>
      </c>
      <c r="X895" s="18"/>
      <c r="Y895" s="21"/>
      <c r="Z895" s="98"/>
      <c r="AA895" s="19"/>
      <c r="AB895" s="19"/>
      <c r="AC895" s="18"/>
    </row>
    <row r="896" spans="1:29" s="7" customFormat="1" outlineLevel="3" x14ac:dyDescent="0.25">
      <c r="A896" s="1" t="s">
        <v>5</v>
      </c>
      <c r="B896" s="1" t="s">
        <v>5</v>
      </c>
      <c r="C896" s="1" t="s">
        <v>5</v>
      </c>
      <c r="D896" s="1" t="s">
        <v>4</v>
      </c>
      <c r="E896" s="13" t="s">
        <v>1902</v>
      </c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U896" s="17"/>
      <c r="V896" s="18">
        <v>0.35</v>
      </c>
      <c r="W896" s="47" t="s">
        <v>1018</v>
      </c>
      <c r="X896" s="18"/>
      <c r="Y896" s="21"/>
      <c r="Z896" s="98"/>
      <c r="AA896" s="19"/>
      <c r="AB896" s="19"/>
      <c r="AC896" s="18"/>
    </row>
    <row r="897" spans="1:30" s="7" customFormat="1" outlineLevel="3" x14ac:dyDescent="0.25">
      <c r="A897" s="1" t="s">
        <v>5</v>
      </c>
      <c r="B897" s="1" t="s">
        <v>5</v>
      </c>
      <c r="C897" s="1" t="s">
        <v>5</v>
      </c>
      <c r="D897" s="1" t="s">
        <v>49</v>
      </c>
      <c r="E897" s="13" t="s">
        <v>1061</v>
      </c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U897" s="17"/>
      <c r="V897" s="18">
        <v>0.26</v>
      </c>
      <c r="W897" s="47" t="s">
        <v>1018</v>
      </c>
      <c r="X897" s="18"/>
      <c r="Y897" s="21"/>
      <c r="Z897" s="98"/>
      <c r="AA897" s="19"/>
      <c r="AB897" s="19"/>
      <c r="AC897" s="18"/>
    </row>
    <row r="898" spans="1:30" s="7" customFormat="1" outlineLevel="2" x14ac:dyDescent="0.25">
      <c r="A898" s="1" t="s">
        <v>5</v>
      </c>
      <c r="B898" s="1" t="s">
        <v>5</v>
      </c>
      <c r="C898" s="1" t="s">
        <v>4</v>
      </c>
      <c r="D898" s="5" t="s">
        <v>180</v>
      </c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U898" s="17" t="s">
        <v>2339</v>
      </c>
      <c r="V898" s="18">
        <v>1</v>
      </c>
      <c r="W898" s="47" t="s">
        <v>1019</v>
      </c>
      <c r="X898" s="18" t="s">
        <v>175</v>
      </c>
      <c r="Y898" s="21"/>
      <c r="Z898" s="98"/>
      <c r="AA898" s="19"/>
      <c r="AB898" s="19"/>
      <c r="AC898" s="18"/>
    </row>
    <row r="899" spans="1:30" s="7" customFormat="1" outlineLevel="3" x14ac:dyDescent="0.25">
      <c r="A899" s="1" t="s">
        <v>5</v>
      </c>
      <c r="B899" s="1" t="s">
        <v>5</v>
      </c>
      <c r="C899" s="1" t="s">
        <v>5</v>
      </c>
      <c r="D899" s="1" t="s">
        <v>4</v>
      </c>
      <c r="E899" s="13" t="s">
        <v>41</v>
      </c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U899" s="17" t="s">
        <v>42</v>
      </c>
      <c r="V899" s="18">
        <v>1</v>
      </c>
      <c r="W899" s="47" t="s">
        <v>1019</v>
      </c>
      <c r="X899" s="18"/>
      <c r="Y899" s="21"/>
      <c r="Z899" s="98"/>
      <c r="AA899" s="19"/>
      <c r="AB899" s="19"/>
      <c r="AC899" s="18"/>
    </row>
    <row r="900" spans="1:30" s="7" customFormat="1" outlineLevel="3" x14ac:dyDescent="0.25">
      <c r="A900" s="1" t="s">
        <v>5</v>
      </c>
      <c r="B900" s="1" t="s">
        <v>5</v>
      </c>
      <c r="C900" s="1" t="s">
        <v>5</v>
      </c>
      <c r="D900" s="1" t="s">
        <v>4</v>
      </c>
      <c r="E900" s="13" t="s">
        <v>226</v>
      </c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U900" s="17" t="s">
        <v>227</v>
      </c>
      <c r="V900" s="18">
        <v>2</v>
      </c>
      <c r="W900" s="47" t="s">
        <v>1019</v>
      </c>
      <c r="X900" s="18"/>
      <c r="Y900" s="21"/>
      <c r="Z900" s="98"/>
      <c r="AA900" s="19"/>
      <c r="AB900" s="19"/>
      <c r="AC900" s="18"/>
    </row>
    <row r="901" spans="1:30" s="7" customFormat="1" outlineLevel="3" x14ac:dyDescent="0.25">
      <c r="A901" s="1" t="s">
        <v>5</v>
      </c>
      <c r="B901" s="1" t="s">
        <v>5</v>
      </c>
      <c r="C901" s="1" t="s">
        <v>5</v>
      </c>
      <c r="D901" s="1" t="s">
        <v>4</v>
      </c>
      <c r="E901" s="13" t="s">
        <v>18</v>
      </c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U901" s="17" t="s">
        <v>235</v>
      </c>
      <c r="V901" s="18">
        <v>1</v>
      </c>
      <c r="W901" s="47" t="s">
        <v>1019</v>
      </c>
      <c r="X901" s="18" t="s">
        <v>193</v>
      </c>
      <c r="Y901" s="23" t="s">
        <v>234</v>
      </c>
      <c r="Z901" s="98"/>
      <c r="AA901" s="19"/>
      <c r="AB901" s="19"/>
      <c r="AC901" s="18"/>
    </row>
    <row r="902" spans="1:30" s="7" customFormat="1" outlineLevel="3" x14ac:dyDescent="0.25">
      <c r="A902" s="1" t="s">
        <v>5</v>
      </c>
      <c r="B902" s="1" t="s">
        <v>5</v>
      </c>
      <c r="C902" s="1" t="s">
        <v>5</v>
      </c>
      <c r="D902" s="1" t="s">
        <v>4</v>
      </c>
      <c r="E902" s="13" t="s">
        <v>1901</v>
      </c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U902" s="17"/>
      <c r="V902" s="18">
        <v>0.75</v>
      </c>
      <c r="W902" s="47" t="s">
        <v>1018</v>
      </c>
      <c r="X902" s="18"/>
      <c r="Y902" s="21"/>
      <c r="Z902" s="98"/>
      <c r="AA902" s="19"/>
      <c r="AB902" s="19"/>
      <c r="AC902" s="18"/>
    </row>
    <row r="903" spans="1:30" s="7" customFormat="1" outlineLevel="3" x14ac:dyDescent="0.25">
      <c r="A903" s="1" t="s">
        <v>5</v>
      </c>
      <c r="B903" s="1" t="s">
        <v>5</v>
      </c>
      <c r="C903" s="1" t="s">
        <v>5</v>
      </c>
      <c r="D903" s="1" t="s">
        <v>4</v>
      </c>
      <c r="E903" s="13" t="s">
        <v>1926</v>
      </c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U903" s="17"/>
      <c r="V903" s="18">
        <v>0.75</v>
      </c>
      <c r="W903" s="47" t="s">
        <v>1018</v>
      </c>
      <c r="X903" s="18"/>
      <c r="Y903" s="21"/>
      <c r="Z903" s="98"/>
      <c r="AA903" s="19"/>
      <c r="AB903" s="19"/>
      <c r="AC903" s="18"/>
    </row>
    <row r="904" spans="1:30" s="7" customFormat="1" outlineLevel="3" x14ac:dyDescent="0.25">
      <c r="A904" s="1" t="s">
        <v>5</v>
      </c>
      <c r="B904" s="1" t="s">
        <v>5</v>
      </c>
      <c r="C904" s="1" t="s">
        <v>5</v>
      </c>
      <c r="D904" s="1" t="s">
        <v>4</v>
      </c>
      <c r="E904" s="13" t="s">
        <v>1927</v>
      </c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U904" s="17"/>
      <c r="V904" s="18">
        <v>0.84</v>
      </c>
      <c r="W904" s="47" t="s">
        <v>1018</v>
      </c>
      <c r="X904" s="18"/>
      <c r="Y904" s="21"/>
      <c r="Z904" s="98"/>
      <c r="AA904" s="19"/>
      <c r="AB904" s="19"/>
      <c r="AC904" s="18"/>
    </row>
    <row r="905" spans="1:30" s="7" customFormat="1" outlineLevel="3" x14ac:dyDescent="0.25">
      <c r="A905" s="1" t="s">
        <v>5</v>
      </c>
      <c r="B905" s="1" t="s">
        <v>5</v>
      </c>
      <c r="C905" s="1" t="s">
        <v>5</v>
      </c>
      <c r="D905" s="1" t="s">
        <v>4</v>
      </c>
      <c r="E905" s="13" t="s">
        <v>1906</v>
      </c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U905" s="17"/>
      <c r="V905" s="18">
        <v>0.65</v>
      </c>
      <c r="W905" s="47" t="s">
        <v>1018</v>
      </c>
      <c r="X905" s="18"/>
      <c r="Y905" s="21"/>
      <c r="Z905" s="98"/>
      <c r="AA905" s="19"/>
      <c r="AB905" s="19"/>
      <c r="AC905" s="18"/>
    </row>
    <row r="906" spans="1:30" s="13" customFormat="1" outlineLevel="2" x14ac:dyDescent="0.25">
      <c r="A906" s="1" t="s">
        <v>5</v>
      </c>
      <c r="B906" s="1" t="s">
        <v>5</v>
      </c>
      <c r="C906" s="1" t="s">
        <v>4</v>
      </c>
      <c r="D906" s="13" t="s">
        <v>583</v>
      </c>
      <c r="U906" s="17" t="s">
        <v>2546</v>
      </c>
      <c r="V906" s="18">
        <v>1</v>
      </c>
      <c r="W906" s="47" t="s">
        <v>1019</v>
      </c>
      <c r="X906" s="18"/>
      <c r="Y906" s="18"/>
      <c r="Z906" s="98"/>
      <c r="AA906" s="19"/>
      <c r="AB906" s="19"/>
      <c r="AC906" s="18"/>
      <c r="AD906" s="7"/>
    </row>
    <row r="907" spans="1:30" s="13" customFormat="1" outlineLevel="2" x14ac:dyDescent="0.25">
      <c r="A907" s="1" t="s">
        <v>5</v>
      </c>
      <c r="B907" s="1" t="s">
        <v>5</v>
      </c>
      <c r="C907" s="1" t="s">
        <v>4</v>
      </c>
      <c r="D907" s="13" t="s">
        <v>290</v>
      </c>
      <c r="U907" s="17" t="s">
        <v>2547</v>
      </c>
      <c r="V907" s="18">
        <v>1</v>
      </c>
      <c r="W907" s="47" t="s">
        <v>1019</v>
      </c>
      <c r="X907" s="18"/>
      <c r="Y907" s="18"/>
      <c r="Z907" s="98"/>
      <c r="AA907" s="19"/>
      <c r="AB907" s="19"/>
      <c r="AC907" s="18"/>
      <c r="AD907" s="7"/>
    </row>
    <row r="908" spans="1:30" s="13" customFormat="1" outlineLevel="2" x14ac:dyDescent="0.25">
      <c r="A908" s="1" t="s">
        <v>5</v>
      </c>
      <c r="B908" s="1" t="s">
        <v>5</v>
      </c>
      <c r="C908" s="1" t="s">
        <v>4</v>
      </c>
      <c r="D908" s="13" t="s">
        <v>1786</v>
      </c>
      <c r="U908" s="17" t="s">
        <v>2548</v>
      </c>
      <c r="V908" s="18">
        <v>1</v>
      </c>
      <c r="W908" s="47" t="s">
        <v>1019</v>
      </c>
      <c r="X908" s="18"/>
      <c r="Y908" s="18"/>
      <c r="Z908" s="98"/>
      <c r="AA908" s="19"/>
      <c r="AB908" s="19"/>
      <c r="AC908" s="18"/>
      <c r="AD908" s="7"/>
    </row>
    <row r="909" spans="1:30" s="13" customFormat="1" outlineLevel="2" x14ac:dyDescent="0.25">
      <c r="A909" s="1" t="s">
        <v>5</v>
      </c>
      <c r="B909" s="1" t="s">
        <v>5</v>
      </c>
      <c r="C909" s="1" t="s">
        <v>4</v>
      </c>
      <c r="D909" s="5" t="s">
        <v>275</v>
      </c>
      <c r="U909" s="17" t="s">
        <v>2549</v>
      </c>
      <c r="V909" s="18">
        <v>1</v>
      </c>
      <c r="W909" s="47" t="s">
        <v>1019</v>
      </c>
      <c r="X909" s="18"/>
      <c r="Y909" s="18"/>
      <c r="Z909" s="98"/>
      <c r="AA909" s="19"/>
      <c r="AB909" s="19"/>
      <c r="AC909" s="18"/>
      <c r="AD909" s="7"/>
    </row>
    <row r="910" spans="1:30" s="13" customFormat="1" outlineLevel="3" x14ac:dyDescent="0.25">
      <c r="A910" s="1" t="s">
        <v>5</v>
      </c>
      <c r="B910" s="1" t="s">
        <v>5</v>
      </c>
      <c r="C910" s="1" t="s">
        <v>5</v>
      </c>
      <c r="D910" s="1" t="s">
        <v>4</v>
      </c>
      <c r="E910" s="13" t="s">
        <v>555</v>
      </c>
      <c r="U910" s="17" t="s">
        <v>2550</v>
      </c>
      <c r="V910" s="18">
        <v>2</v>
      </c>
      <c r="W910" s="47" t="s">
        <v>1019</v>
      </c>
      <c r="X910" s="18"/>
      <c r="Y910" s="18"/>
      <c r="Z910" s="98"/>
      <c r="AA910" s="19"/>
      <c r="AB910" s="19"/>
      <c r="AC910" s="18"/>
      <c r="AD910" s="7"/>
    </row>
    <row r="911" spans="1:30" s="13" customFormat="1" outlineLevel="3" x14ac:dyDescent="0.25">
      <c r="A911" s="1" t="s">
        <v>5</v>
      </c>
      <c r="B911" s="1" t="s">
        <v>5</v>
      </c>
      <c r="C911" s="1" t="s">
        <v>5</v>
      </c>
      <c r="D911" s="1" t="s">
        <v>4</v>
      </c>
      <c r="E911" s="13" t="s">
        <v>555</v>
      </c>
      <c r="U911" s="17" t="s">
        <v>2551</v>
      </c>
      <c r="V911" s="18">
        <v>2</v>
      </c>
      <c r="W911" s="47" t="s">
        <v>1019</v>
      </c>
      <c r="X911" s="18"/>
      <c r="Y911" s="18"/>
      <c r="Z911" s="98"/>
      <c r="AA911" s="19"/>
      <c r="AB911" s="19"/>
      <c r="AC911" s="18"/>
      <c r="AD911" s="7"/>
    </row>
    <row r="912" spans="1:30" s="13" customFormat="1" outlineLevel="3" x14ac:dyDescent="0.25">
      <c r="A912" s="1" t="s">
        <v>5</v>
      </c>
      <c r="B912" s="1" t="s">
        <v>5</v>
      </c>
      <c r="C912" s="1" t="s">
        <v>5</v>
      </c>
      <c r="D912" s="1" t="s">
        <v>4</v>
      </c>
      <c r="E912" s="13" t="s">
        <v>555</v>
      </c>
      <c r="U912" s="17" t="s">
        <v>2552</v>
      </c>
      <c r="V912" s="18">
        <v>1</v>
      </c>
      <c r="W912" s="47" t="s">
        <v>1019</v>
      </c>
      <c r="X912" s="18"/>
      <c r="Y912" s="18"/>
      <c r="Z912" s="98"/>
      <c r="AA912" s="19"/>
      <c r="AB912" s="19"/>
      <c r="AC912" s="18"/>
      <c r="AD912" s="7"/>
    </row>
    <row r="913" spans="1:30" s="13" customFormat="1" outlineLevel="3" x14ac:dyDescent="0.25">
      <c r="A913" s="1" t="s">
        <v>5</v>
      </c>
      <c r="B913" s="1" t="s">
        <v>5</v>
      </c>
      <c r="C913" s="1" t="s">
        <v>5</v>
      </c>
      <c r="D913" s="1" t="s">
        <v>4</v>
      </c>
      <c r="E913" s="13" t="s">
        <v>321</v>
      </c>
      <c r="U913" s="17" t="s">
        <v>2553</v>
      </c>
      <c r="V913" s="43">
        <v>4</v>
      </c>
      <c r="W913" s="47" t="s">
        <v>1019</v>
      </c>
      <c r="X913" s="18"/>
      <c r="Y913" s="18"/>
      <c r="Z913" s="98"/>
      <c r="AA913" s="19"/>
      <c r="AB913" s="19"/>
      <c r="AC913" s="18"/>
      <c r="AD913" s="7"/>
    </row>
    <row r="914" spans="1:30" s="13" customFormat="1" outlineLevel="3" x14ac:dyDescent="0.25">
      <c r="A914" s="1" t="s">
        <v>5</v>
      </c>
      <c r="B914" s="1" t="s">
        <v>5</v>
      </c>
      <c r="C914" s="1" t="s">
        <v>5</v>
      </c>
      <c r="D914" s="1" t="s">
        <v>4</v>
      </c>
      <c r="E914" s="13" t="s">
        <v>321</v>
      </c>
      <c r="U914" s="17" t="s">
        <v>2554</v>
      </c>
      <c r="V914" s="43">
        <v>1</v>
      </c>
      <c r="W914" s="47" t="s">
        <v>1019</v>
      </c>
      <c r="X914" s="18"/>
      <c r="Y914" s="18"/>
      <c r="Z914" s="98"/>
      <c r="AA914" s="19"/>
      <c r="AB914" s="19"/>
      <c r="AC914" s="18"/>
      <c r="AD914" s="7"/>
    </row>
    <row r="915" spans="1:30" s="13" customFormat="1" outlineLevel="3" x14ac:dyDescent="0.25">
      <c r="A915" s="1" t="s">
        <v>5</v>
      </c>
      <c r="B915" s="1" t="s">
        <v>5</v>
      </c>
      <c r="C915" s="1" t="s">
        <v>5</v>
      </c>
      <c r="D915" s="1" t="s">
        <v>49</v>
      </c>
      <c r="E915" s="13" t="s">
        <v>275</v>
      </c>
      <c r="U915" s="17" t="s">
        <v>2555</v>
      </c>
      <c r="V915" s="18">
        <v>1</v>
      </c>
      <c r="W915" s="47" t="s">
        <v>1019</v>
      </c>
      <c r="X915" s="18"/>
      <c r="Y915" s="18"/>
      <c r="Z915" s="98"/>
      <c r="AA915" s="19"/>
      <c r="AB915" s="19"/>
      <c r="AC915" s="18"/>
      <c r="AD915" s="7"/>
    </row>
    <row r="916" spans="1:30" s="13" customFormat="1" outlineLevel="2" x14ac:dyDescent="0.25">
      <c r="A916" s="1" t="s">
        <v>5</v>
      </c>
      <c r="B916" s="1" t="s">
        <v>5</v>
      </c>
      <c r="C916" s="1" t="s">
        <v>4</v>
      </c>
      <c r="D916" s="5" t="s">
        <v>289</v>
      </c>
      <c r="U916" s="17" t="s">
        <v>2556</v>
      </c>
      <c r="V916" s="18">
        <v>1</v>
      </c>
      <c r="W916" s="47" t="s">
        <v>1019</v>
      </c>
      <c r="X916" s="18"/>
      <c r="Y916" s="18"/>
      <c r="Z916" s="98"/>
      <c r="AA916" s="19"/>
      <c r="AB916" s="19"/>
      <c r="AC916" s="18"/>
      <c r="AD916" s="7"/>
    </row>
    <row r="917" spans="1:30" s="13" customFormat="1" outlineLevel="3" x14ac:dyDescent="0.25">
      <c r="A917" s="1" t="s">
        <v>5</v>
      </c>
      <c r="B917" s="1" t="s">
        <v>5</v>
      </c>
      <c r="C917" s="1" t="s">
        <v>5</v>
      </c>
      <c r="D917" s="1" t="s">
        <v>4</v>
      </c>
      <c r="E917" s="13" t="s">
        <v>289</v>
      </c>
      <c r="U917" s="17" t="s">
        <v>2557</v>
      </c>
      <c r="V917" s="18">
        <v>1</v>
      </c>
      <c r="W917" s="47" t="s">
        <v>1019</v>
      </c>
      <c r="X917" s="18"/>
      <c r="Y917" s="18"/>
      <c r="Z917" s="98"/>
      <c r="AA917" s="19"/>
      <c r="AB917" s="19"/>
      <c r="AC917" s="18"/>
      <c r="AD917" s="7"/>
    </row>
    <row r="918" spans="1:30" s="13" customFormat="1" outlineLevel="3" x14ac:dyDescent="0.25">
      <c r="A918" s="1" t="s">
        <v>5</v>
      </c>
      <c r="B918" s="1" t="s">
        <v>5</v>
      </c>
      <c r="C918" s="1" t="s">
        <v>5</v>
      </c>
      <c r="D918" s="1" t="s">
        <v>49</v>
      </c>
      <c r="E918" s="13" t="s">
        <v>1007</v>
      </c>
      <c r="U918" s="17" t="s">
        <v>2558</v>
      </c>
      <c r="V918" s="18">
        <v>2</v>
      </c>
      <c r="W918" s="47" t="s">
        <v>1019</v>
      </c>
      <c r="X918" s="18"/>
      <c r="Y918" s="18"/>
      <c r="Z918" s="98"/>
      <c r="AA918" s="19"/>
      <c r="AB918" s="19"/>
      <c r="AC918" s="18"/>
      <c r="AD918" s="7"/>
    </row>
    <row r="919" spans="1:30" s="13" customFormat="1" outlineLevel="2" x14ac:dyDescent="0.25">
      <c r="A919" s="1" t="s">
        <v>5</v>
      </c>
      <c r="B919" s="1" t="s">
        <v>5</v>
      </c>
      <c r="C919" s="1" t="s">
        <v>4</v>
      </c>
      <c r="D919" s="5" t="s">
        <v>290</v>
      </c>
      <c r="U919" s="17" t="s">
        <v>2559</v>
      </c>
      <c r="V919" s="18">
        <v>1</v>
      </c>
      <c r="W919" s="47" t="s">
        <v>1019</v>
      </c>
      <c r="X919" s="18"/>
      <c r="Y919" s="18"/>
      <c r="Z919" s="98"/>
      <c r="AA919" s="19"/>
      <c r="AB919" s="19"/>
      <c r="AC919" s="18"/>
      <c r="AD919" s="7"/>
    </row>
    <row r="920" spans="1:30" s="13" customFormat="1" outlineLevel="3" x14ac:dyDescent="0.25">
      <c r="A920" s="1" t="s">
        <v>5</v>
      </c>
      <c r="B920" s="1" t="s">
        <v>5</v>
      </c>
      <c r="C920" s="1" t="s">
        <v>5</v>
      </c>
      <c r="D920" s="1" t="s">
        <v>4</v>
      </c>
      <c r="E920" s="13" t="s">
        <v>290</v>
      </c>
      <c r="U920" s="17" t="s">
        <v>2560</v>
      </c>
      <c r="V920" s="18">
        <v>1</v>
      </c>
      <c r="W920" s="47" t="s">
        <v>1019</v>
      </c>
      <c r="X920" s="18"/>
      <c r="Y920" s="18"/>
      <c r="Z920" s="98"/>
      <c r="AA920" s="19"/>
      <c r="AB920" s="19"/>
      <c r="AC920" s="18"/>
      <c r="AD920" s="7"/>
    </row>
    <row r="921" spans="1:30" s="13" customFormat="1" outlineLevel="3" x14ac:dyDescent="0.25">
      <c r="A921" s="1" t="s">
        <v>5</v>
      </c>
      <c r="B921" s="1" t="s">
        <v>5</v>
      </c>
      <c r="C921" s="1" t="s">
        <v>5</v>
      </c>
      <c r="D921" s="1" t="s">
        <v>49</v>
      </c>
      <c r="E921" s="13" t="s">
        <v>582</v>
      </c>
      <c r="U921" s="17" t="s">
        <v>2561</v>
      </c>
      <c r="V921" s="18">
        <v>2</v>
      </c>
      <c r="W921" s="47" t="s">
        <v>1019</v>
      </c>
      <c r="X921" s="18"/>
      <c r="Y921" s="18"/>
      <c r="Z921" s="98"/>
      <c r="AA921" s="19"/>
      <c r="AB921" s="19"/>
      <c r="AC921" s="18"/>
      <c r="AD921" s="7"/>
    </row>
    <row r="922" spans="1:30" s="13" customFormat="1" outlineLevel="2" x14ac:dyDescent="0.25">
      <c r="A922" s="1" t="s">
        <v>5</v>
      </c>
      <c r="B922" s="1" t="s">
        <v>5</v>
      </c>
      <c r="C922" s="1" t="s">
        <v>4</v>
      </c>
      <c r="D922" s="13" t="s">
        <v>348</v>
      </c>
      <c r="T922" s="7"/>
      <c r="U922" s="17" t="s">
        <v>2340</v>
      </c>
      <c r="V922" s="18">
        <v>1</v>
      </c>
      <c r="W922" s="47" t="s">
        <v>1019</v>
      </c>
      <c r="X922" s="18"/>
      <c r="Y922" s="18"/>
      <c r="Z922" s="98"/>
      <c r="AA922" s="19"/>
      <c r="AB922" s="19"/>
      <c r="AC922" s="45"/>
      <c r="AD922" s="7"/>
    </row>
    <row r="923" spans="1:30" s="7" customFormat="1" outlineLevel="2" x14ac:dyDescent="0.25">
      <c r="A923" s="1" t="s">
        <v>5</v>
      </c>
      <c r="B923" s="1" t="s">
        <v>5</v>
      </c>
      <c r="C923" s="1" t="s">
        <v>4</v>
      </c>
      <c r="D923" s="13" t="s">
        <v>349</v>
      </c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U923" s="17" t="s">
        <v>2341</v>
      </c>
      <c r="V923" s="18">
        <v>1</v>
      </c>
      <c r="W923" s="47" t="s">
        <v>1019</v>
      </c>
      <c r="X923" s="18"/>
      <c r="Y923" s="18"/>
      <c r="Z923" s="98"/>
      <c r="AA923" s="19"/>
      <c r="AB923" s="19"/>
      <c r="AC923" s="45"/>
    </row>
    <row r="924" spans="1:30" s="7" customFormat="1" outlineLevel="2" x14ac:dyDescent="0.25">
      <c r="A924" s="1" t="s">
        <v>5</v>
      </c>
      <c r="B924" s="1" t="s">
        <v>5</v>
      </c>
      <c r="C924" s="1" t="s">
        <v>4</v>
      </c>
      <c r="D924" s="13" t="s">
        <v>2574</v>
      </c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U924" s="17" t="s">
        <v>2342</v>
      </c>
      <c r="V924" s="18">
        <v>1</v>
      </c>
      <c r="W924" s="47" t="s">
        <v>1019</v>
      </c>
      <c r="X924" s="18"/>
      <c r="Y924" s="18"/>
      <c r="Z924" s="98"/>
      <c r="AA924" s="19"/>
      <c r="AB924" s="19"/>
      <c r="AC924" s="45"/>
    </row>
    <row r="925" spans="1:30" s="7" customFormat="1" outlineLevel="2" x14ac:dyDescent="0.25">
      <c r="A925" s="1" t="s">
        <v>5</v>
      </c>
      <c r="B925" s="1" t="s">
        <v>5</v>
      </c>
      <c r="C925" s="1" t="s">
        <v>4</v>
      </c>
      <c r="D925" s="13" t="s">
        <v>2145</v>
      </c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U925" s="17" t="s">
        <v>2343</v>
      </c>
      <c r="V925" s="18">
        <v>1</v>
      </c>
      <c r="W925" s="47" t="s">
        <v>1019</v>
      </c>
      <c r="X925" s="18"/>
      <c r="Y925" s="18"/>
      <c r="Z925" s="98"/>
      <c r="AA925" s="19"/>
      <c r="AB925" s="19"/>
      <c r="AC925" s="45"/>
    </row>
    <row r="926" spans="1:30" s="13" customFormat="1" outlineLevel="2" x14ac:dyDescent="0.25">
      <c r="A926" s="1" t="s">
        <v>5</v>
      </c>
      <c r="B926" s="1" t="s">
        <v>5</v>
      </c>
      <c r="C926" s="1" t="s">
        <v>4</v>
      </c>
      <c r="D926" s="13" t="s">
        <v>586</v>
      </c>
      <c r="U926" s="17" t="s">
        <v>585</v>
      </c>
      <c r="V926" s="18">
        <v>2</v>
      </c>
      <c r="W926" s="47" t="s">
        <v>1019</v>
      </c>
      <c r="X926" s="18" t="s">
        <v>590</v>
      </c>
      <c r="Y926" s="29" t="s">
        <v>591</v>
      </c>
      <c r="Z926" s="98"/>
      <c r="AA926" s="19">
        <v>65</v>
      </c>
      <c r="AB926" s="19"/>
      <c r="AC926" s="18"/>
      <c r="AD926" s="7"/>
    </row>
    <row r="927" spans="1:30" s="13" customFormat="1" outlineLevel="2" x14ac:dyDescent="0.25">
      <c r="A927" s="1" t="s">
        <v>5</v>
      </c>
      <c r="B927" s="1" t="s">
        <v>5</v>
      </c>
      <c r="C927" s="1" t="s">
        <v>4</v>
      </c>
      <c r="D927" s="13" t="s">
        <v>1888</v>
      </c>
      <c r="E927" s="4"/>
      <c r="U927" s="17" t="s">
        <v>967</v>
      </c>
      <c r="V927" s="18">
        <v>4</v>
      </c>
      <c r="W927" s="47" t="s">
        <v>1019</v>
      </c>
      <c r="X927" s="18"/>
      <c r="Y927" s="18"/>
      <c r="Z927" s="98"/>
      <c r="AA927" s="19"/>
      <c r="AB927" s="19"/>
      <c r="AC927" s="18"/>
      <c r="AD927" s="7"/>
    </row>
    <row r="928" spans="1:30" s="13" customFormat="1" outlineLevel="2" x14ac:dyDescent="0.25">
      <c r="A928" s="1" t="s">
        <v>5</v>
      </c>
      <c r="B928" s="1" t="s">
        <v>5</v>
      </c>
      <c r="C928" s="1" t="s">
        <v>4</v>
      </c>
      <c r="D928" s="13" t="s">
        <v>1889</v>
      </c>
      <c r="E928" s="4"/>
      <c r="U928" s="17"/>
      <c r="V928" s="18">
        <v>4</v>
      </c>
      <c r="W928" s="47" t="s">
        <v>1019</v>
      </c>
      <c r="X928" s="18"/>
      <c r="Y928" s="18"/>
      <c r="Z928" s="98"/>
      <c r="AA928" s="19"/>
      <c r="AB928" s="19"/>
      <c r="AC928" s="18"/>
      <c r="AD928" s="7"/>
    </row>
    <row r="929" spans="1:30" s="13" customFormat="1" outlineLevel="2" x14ac:dyDescent="0.25">
      <c r="A929" s="1" t="s">
        <v>5</v>
      </c>
      <c r="B929" s="1" t="s">
        <v>5</v>
      </c>
      <c r="C929" s="1" t="s">
        <v>4</v>
      </c>
      <c r="D929" s="13" t="s">
        <v>345</v>
      </c>
      <c r="E929" s="4"/>
      <c r="U929" s="17"/>
      <c r="V929" s="18">
        <v>8</v>
      </c>
      <c r="W929" s="47" t="s">
        <v>1019</v>
      </c>
      <c r="X929" s="18"/>
      <c r="Y929" s="18"/>
      <c r="Z929" s="98"/>
      <c r="AA929" s="19"/>
      <c r="AB929" s="19"/>
      <c r="AC929" s="18"/>
      <c r="AD929" s="7"/>
    </row>
    <row r="930" spans="1:30" s="13" customFormat="1" outlineLevel="2" x14ac:dyDescent="0.25">
      <c r="A930" s="1" t="s">
        <v>5</v>
      </c>
      <c r="B930" s="1" t="s">
        <v>5</v>
      </c>
      <c r="C930" s="1" t="s">
        <v>4</v>
      </c>
      <c r="D930" s="13" t="s">
        <v>346</v>
      </c>
      <c r="E930" s="4"/>
      <c r="U930" s="17"/>
      <c r="V930" s="18">
        <v>4</v>
      </c>
      <c r="W930" s="47" t="s">
        <v>1019</v>
      </c>
      <c r="X930" s="18"/>
      <c r="Y930" s="18"/>
      <c r="Z930" s="98"/>
      <c r="AA930" s="19"/>
      <c r="AB930" s="19"/>
      <c r="AC930" s="18"/>
      <c r="AD930" s="7"/>
    </row>
    <row r="931" spans="1:30" s="13" customFormat="1" outlineLevel="2" x14ac:dyDescent="0.25">
      <c r="A931" s="1" t="s">
        <v>5</v>
      </c>
      <c r="B931" s="1" t="s">
        <v>5</v>
      </c>
      <c r="C931" s="1" t="s">
        <v>4</v>
      </c>
      <c r="D931" s="13" t="s">
        <v>347</v>
      </c>
      <c r="E931" s="4"/>
      <c r="U931" s="17"/>
      <c r="V931" s="18">
        <v>4</v>
      </c>
      <c r="W931" s="47" t="s">
        <v>1019</v>
      </c>
      <c r="X931" s="18"/>
      <c r="Y931" s="18"/>
      <c r="Z931" s="98"/>
      <c r="AA931" s="19"/>
      <c r="AB931" s="19"/>
      <c r="AC931" s="18"/>
      <c r="AD931" s="7"/>
    </row>
    <row r="932" spans="1:30" s="13" customFormat="1" outlineLevel="2" x14ac:dyDescent="0.25">
      <c r="A932" s="1" t="s">
        <v>5</v>
      </c>
      <c r="B932" s="1" t="s">
        <v>5</v>
      </c>
      <c r="C932" s="1" t="s">
        <v>4</v>
      </c>
      <c r="D932" s="13" t="s">
        <v>130</v>
      </c>
      <c r="T932" s="7"/>
      <c r="U932" s="17" t="s">
        <v>131</v>
      </c>
      <c r="V932" s="18">
        <v>1</v>
      </c>
      <c r="W932" s="47" t="s">
        <v>1019</v>
      </c>
      <c r="X932" s="18" t="s">
        <v>132</v>
      </c>
      <c r="Y932" s="18"/>
      <c r="Z932" s="98"/>
      <c r="AA932" s="19">
        <v>3827.68</v>
      </c>
      <c r="AB932" s="19"/>
      <c r="AC932" s="45" t="s">
        <v>140</v>
      </c>
      <c r="AD932" s="7"/>
    </row>
    <row r="933" spans="1:30" s="7" customFormat="1" outlineLevel="2" x14ac:dyDescent="0.25">
      <c r="A933" s="1" t="s">
        <v>5</v>
      </c>
      <c r="B933" s="1" t="s">
        <v>5</v>
      </c>
      <c r="C933" s="1" t="s">
        <v>4</v>
      </c>
      <c r="D933" s="13" t="s">
        <v>142</v>
      </c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U933" s="17" t="s">
        <v>143</v>
      </c>
      <c r="V933" s="18">
        <v>1</v>
      </c>
      <c r="W933" s="47" t="s">
        <v>1019</v>
      </c>
      <c r="X933" s="18" t="s">
        <v>144</v>
      </c>
      <c r="Y933" s="18"/>
      <c r="Z933" s="98"/>
      <c r="AA933" s="19">
        <v>465.58</v>
      </c>
      <c r="AB933" s="19"/>
      <c r="AC933" s="18"/>
    </row>
    <row r="934" spans="1:30" s="7" customFormat="1" outlineLevel="2" x14ac:dyDescent="0.25">
      <c r="A934" s="1" t="s">
        <v>5</v>
      </c>
      <c r="B934" s="1" t="s">
        <v>5</v>
      </c>
      <c r="C934" s="1" t="s">
        <v>4</v>
      </c>
      <c r="D934" s="13" t="s">
        <v>145</v>
      </c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U934" s="17" t="s">
        <v>146</v>
      </c>
      <c r="V934" s="18">
        <v>1</v>
      </c>
      <c r="W934" s="47" t="s">
        <v>1019</v>
      </c>
      <c r="X934" s="18" t="s">
        <v>132</v>
      </c>
      <c r="Y934" s="18"/>
      <c r="Z934" s="98"/>
      <c r="AA934" s="19">
        <v>402.94</v>
      </c>
      <c r="AB934" s="19"/>
      <c r="AC934" s="18"/>
    </row>
    <row r="935" spans="1:30" s="7" customFormat="1" outlineLevel="2" x14ac:dyDescent="0.25">
      <c r="A935" s="1" t="s">
        <v>5</v>
      </c>
      <c r="B935" s="1" t="s">
        <v>5</v>
      </c>
      <c r="C935" s="1" t="s">
        <v>4</v>
      </c>
      <c r="D935" s="13" t="s">
        <v>147</v>
      </c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U935" s="17">
        <v>1895106</v>
      </c>
      <c r="V935" s="18">
        <v>1</v>
      </c>
      <c r="W935" s="47" t="s">
        <v>1019</v>
      </c>
      <c r="X935" s="18" t="s">
        <v>148</v>
      </c>
      <c r="Y935" s="21" t="s">
        <v>149</v>
      </c>
      <c r="Z935" s="98"/>
      <c r="AA935" s="19">
        <v>717.95</v>
      </c>
      <c r="AB935" s="19"/>
      <c r="AC935" s="18"/>
    </row>
    <row r="936" spans="1:30" s="7" customFormat="1" outlineLevel="2" x14ac:dyDescent="0.25">
      <c r="A936" s="1" t="s">
        <v>5</v>
      </c>
      <c r="B936" s="1" t="s">
        <v>5</v>
      </c>
      <c r="C936" s="1" t="s">
        <v>4</v>
      </c>
      <c r="D936" s="13" t="s">
        <v>150</v>
      </c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U936" s="17">
        <v>6975375</v>
      </c>
      <c r="V936" s="18">
        <v>2</v>
      </c>
      <c r="W936" s="47" t="s">
        <v>1019</v>
      </c>
      <c r="X936" s="18" t="s">
        <v>120</v>
      </c>
      <c r="Y936" s="21" t="s">
        <v>151</v>
      </c>
      <c r="Z936" s="98"/>
      <c r="AA936" s="19">
        <v>30.46</v>
      </c>
      <c r="AB936" s="19"/>
      <c r="AC936" s="18"/>
    </row>
    <row r="937" spans="1:30" s="7" customFormat="1" outlineLevel="2" x14ac:dyDescent="0.25">
      <c r="A937" s="1" t="s">
        <v>5</v>
      </c>
      <c r="B937" s="1" t="s">
        <v>5</v>
      </c>
      <c r="C937" s="1" t="s">
        <v>4</v>
      </c>
      <c r="D937" s="13" t="s">
        <v>152</v>
      </c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U937" s="17" t="s">
        <v>153</v>
      </c>
      <c r="V937" s="18">
        <v>1</v>
      </c>
      <c r="W937" s="47" t="s">
        <v>1019</v>
      </c>
      <c r="X937" s="18" t="s">
        <v>6</v>
      </c>
      <c r="Y937" s="21" t="s">
        <v>154</v>
      </c>
      <c r="Z937" s="98"/>
      <c r="AA937" s="19">
        <v>343.46</v>
      </c>
      <c r="AB937" s="19"/>
      <c r="AC937" s="18"/>
    </row>
    <row r="938" spans="1:30" s="13" customFormat="1" outlineLevel="2" x14ac:dyDescent="0.25">
      <c r="A938" s="50" t="s">
        <v>5</v>
      </c>
      <c r="B938" s="50" t="s">
        <v>5</v>
      </c>
      <c r="C938" s="50" t="s">
        <v>4</v>
      </c>
      <c r="D938" s="52" t="s">
        <v>584</v>
      </c>
      <c r="E938" s="52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3" t="s">
        <v>588</v>
      </c>
      <c r="V938" s="54">
        <v>4</v>
      </c>
      <c r="W938" s="55" t="s">
        <v>1019</v>
      </c>
      <c r="X938" s="54" t="s">
        <v>587</v>
      </c>
      <c r="Y938" s="66" t="s">
        <v>589</v>
      </c>
      <c r="Z938" s="100"/>
      <c r="AA938" s="56"/>
      <c r="AB938" s="56"/>
      <c r="AC938" s="54"/>
      <c r="AD938" s="7"/>
    </row>
    <row r="939" spans="1:30" s="7" customFormat="1" outlineLevel="2" x14ac:dyDescent="0.25">
      <c r="A939" s="50" t="s">
        <v>5</v>
      </c>
      <c r="B939" s="50" t="s">
        <v>5</v>
      </c>
      <c r="C939" s="50" t="s">
        <v>49</v>
      </c>
      <c r="D939" s="52" t="s">
        <v>1115</v>
      </c>
      <c r="E939" s="52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8"/>
      <c r="U939" s="53"/>
      <c r="V939" s="54">
        <v>4</v>
      </c>
      <c r="W939" s="55" t="s">
        <v>1019</v>
      </c>
      <c r="X939" s="54"/>
      <c r="Y939" s="60"/>
      <c r="Z939" s="100"/>
      <c r="AA939" s="56"/>
      <c r="AB939" s="56"/>
      <c r="AC939" s="54"/>
    </row>
    <row r="940" spans="1:30" s="7" customFormat="1" outlineLevel="1" x14ac:dyDescent="0.25">
      <c r="A940" s="50" t="s">
        <v>5</v>
      </c>
      <c r="B940" s="50" t="s">
        <v>4</v>
      </c>
      <c r="C940" s="51" t="s">
        <v>1032</v>
      </c>
      <c r="D940" s="52"/>
      <c r="E940" s="52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8"/>
      <c r="U940" s="62" t="s">
        <v>1033</v>
      </c>
      <c r="V940" s="54">
        <v>1</v>
      </c>
      <c r="W940" s="55" t="s">
        <v>1019</v>
      </c>
      <c r="X940" s="54"/>
      <c r="Y940" s="61" t="s">
        <v>1034</v>
      </c>
      <c r="Z940" s="100" t="s">
        <v>2012</v>
      </c>
      <c r="AA940" s="56">
        <v>250</v>
      </c>
      <c r="AB940" s="56"/>
      <c r="AC940" s="54"/>
    </row>
    <row r="941" spans="1:30" s="7" customFormat="1" outlineLevel="2" x14ac:dyDescent="0.25">
      <c r="A941" s="1" t="s">
        <v>5</v>
      </c>
      <c r="B941" s="1" t="s">
        <v>5</v>
      </c>
      <c r="C941" s="1" t="s">
        <v>49</v>
      </c>
      <c r="D941" s="13" t="s">
        <v>957</v>
      </c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U941" s="17" t="s">
        <v>2344</v>
      </c>
      <c r="V941" s="18">
        <v>1</v>
      </c>
      <c r="W941" s="47" t="s">
        <v>1019</v>
      </c>
      <c r="X941" s="18"/>
      <c r="Y941" s="21"/>
      <c r="Z941" s="98"/>
      <c r="AA941" s="19"/>
      <c r="AB941" s="19"/>
      <c r="AC941" s="18"/>
    </row>
    <row r="942" spans="1:30" s="7" customFormat="1" outlineLevel="1" x14ac:dyDescent="0.25">
      <c r="A942" s="1" t="s">
        <v>5</v>
      </c>
      <c r="B942" s="1" t="s">
        <v>4</v>
      </c>
      <c r="C942" s="5" t="s">
        <v>188</v>
      </c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7" t="s">
        <v>2345</v>
      </c>
      <c r="V942" s="18">
        <v>1</v>
      </c>
      <c r="W942" s="47" t="s">
        <v>1019</v>
      </c>
      <c r="X942" s="18" t="s">
        <v>175</v>
      </c>
      <c r="Y942" s="21"/>
      <c r="Z942" s="98" t="s">
        <v>2011</v>
      </c>
      <c r="AA942" s="19"/>
      <c r="AB942" s="19"/>
      <c r="AC942" s="18"/>
    </row>
    <row r="943" spans="1:30" s="13" customFormat="1" outlineLevel="2" x14ac:dyDescent="0.25">
      <c r="A943" s="1" t="s">
        <v>5</v>
      </c>
      <c r="B943" s="1" t="s">
        <v>5</v>
      </c>
      <c r="C943" s="1" t="s">
        <v>4</v>
      </c>
      <c r="D943" s="13" t="s">
        <v>2146</v>
      </c>
      <c r="T943" s="7"/>
      <c r="U943" s="17" t="s">
        <v>2346</v>
      </c>
      <c r="V943" s="18">
        <v>1</v>
      </c>
      <c r="W943" s="47" t="s">
        <v>1019</v>
      </c>
      <c r="X943" s="18"/>
      <c r="Y943" s="21"/>
      <c r="Z943" s="98"/>
      <c r="AA943" s="19"/>
      <c r="AB943" s="19"/>
      <c r="AC943" s="18"/>
      <c r="AD943" s="7"/>
    </row>
    <row r="944" spans="1:30" s="7" customFormat="1" outlineLevel="2" x14ac:dyDescent="0.25">
      <c r="A944" s="50" t="s">
        <v>5</v>
      </c>
      <c r="B944" s="50" t="s">
        <v>5</v>
      </c>
      <c r="C944" s="50" t="s">
        <v>4</v>
      </c>
      <c r="D944" s="52" t="s">
        <v>1031</v>
      </c>
      <c r="E944" s="52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8"/>
      <c r="U944" s="53"/>
      <c r="V944" s="54">
        <v>3.1</v>
      </c>
      <c r="W944" s="55" t="s">
        <v>1018</v>
      </c>
      <c r="X944" s="54"/>
      <c r="Y944" s="60"/>
      <c r="Z944" s="100"/>
      <c r="AA944" s="56"/>
      <c r="AB944" s="56"/>
      <c r="AC944" s="54"/>
    </row>
    <row r="945" spans="1:29" s="7" customFormat="1" outlineLevel="2" x14ac:dyDescent="0.25">
      <c r="A945" s="1" t="s">
        <v>5</v>
      </c>
      <c r="B945" s="1" t="s">
        <v>5</v>
      </c>
      <c r="C945" s="1" t="s">
        <v>4</v>
      </c>
      <c r="D945" s="13" t="s">
        <v>1923</v>
      </c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U945" s="17"/>
      <c r="V945" s="18">
        <v>0.06</v>
      </c>
      <c r="W945" s="47" t="s">
        <v>1018</v>
      </c>
      <c r="X945" s="18"/>
      <c r="Y945" s="21"/>
      <c r="Z945" s="98"/>
      <c r="AA945" s="19"/>
      <c r="AB945" s="19"/>
      <c r="AC945" s="18"/>
    </row>
    <row r="946" spans="1:29" s="7" customFormat="1" outlineLevel="2" x14ac:dyDescent="0.25">
      <c r="A946" s="50" t="s">
        <v>5</v>
      </c>
      <c r="B946" s="50" t="s">
        <v>5</v>
      </c>
      <c r="C946" s="50" t="s">
        <v>4</v>
      </c>
      <c r="D946" s="52" t="s">
        <v>2086</v>
      </c>
      <c r="E946" s="52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8"/>
      <c r="U946" s="53" t="s">
        <v>189</v>
      </c>
      <c r="V946" s="54">
        <v>1</v>
      </c>
      <c r="W946" s="55" t="s">
        <v>1019</v>
      </c>
      <c r="X946" s="54" t="s">
        <v>193</v>
      </c>
      <c r="Y946" s="75" t="s">
        <v>191</v>
      </c>
      <c r="Z946" s="100"/>
      <c r="AA946" s="56">
        <v>282.81</v>
      </c>
      <c r="AB946" s="56"/>
      <c r="AC946" s="54"/>
    </row>
    <row r="947" spans="1:29" s="7" customFormat="1" outlineLevel="2" x14ac:dyDescent="0.25">
      <c r="A947" s="50" t="s">
        <v>5</v>
      </c>
      <c r="B947" s="50" t="s">
        <v>5</v>
      </c>
      <c r="C947" s="50" t="s">
        <v>49</v>
      </c>
      <c r="D947" s="52" t="s">
        <v>2085</v>
      </c>
      <c r="E947" s="52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8"/>
      <c r="U947" s="53" t="s">
        <v>190</v>
      </c>
      <c r="V947" s="54">
        <v>1</v>
      </c>
      <c r="W947" s="55" t="s">
        <v>1019</v>
      </c>
      <c r="X947" s="54" t="s">
        <v>193</v>
      </c>
      <c r="Y947" s="75" t="s">
        <v>192</v>
      </c>
      <c r="Z947" s="100"/>
      <c r="AA947" s="56">
        <v>282.17</v>
      </c>
      <c r="AB947" s="56"/>
      <c r="AC947" s="54"/>
    </row>
    <row r="948" spans="1:29" s="7" customFormat="1" outlineLevel="1" x14ac:dyDescent="0.25">
      <c r="A948" s="50" t="s">
        <v>5</v>
      </c>
      <c r="B948" s="50" t="s">
        <v>4</v>
      </c>
      <c r="C948" s="51" t="s">
        <v>1042</v>
      </c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8"/>
      <c r="U948" s="53" t="s">
        <v>2347</v>
      </c>
      <c r="V948" s="54">
        <v>1</v>
      </c>
      <c r="W948" s="55" t="s">
        <v>1019</v>
      </c>
      <c r="X948" s="54"/>
      <c r="Y948" s="54"/>
      <c r="Z948" s="100" t="s">
        <v>1999</v>
      </c>
      <c r="AA948" s="56"/>
      <c r="AB948" s="56"/>
      <c r="AC948" s="54"/>
    </row>
    <row r="949" spans="1:29" s="7" customFormat="1" outlineLevel="2" x14ac:dyDescent="0.25">
      <c r="A949" s="50" t="s">
        <v>5</v>
      </c>
      <c r="B949" s="50" t="s">
        <v>5</v>
      </c>
      <c r="C949" s="50" t="s">
        <v>4</v>
      </c>
      <c r="D949" s="52" t="s">
        <v>276</v>
      </c>
      <c r="E949" s="58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8"/>
      <c r="U949" s="53" t="s">
        <v>2562</v>
      </c>
      <c r="V949" s="54">
        <v>1</v>
      </c>
      <c r="W949" s="55" t="s">
        <v>1019</v>
      </c>
      <c r="X949" s="54"/>
      <c r="Y949" s="54"/>
      <c r="Z949" s="100"/>
      <c r="AA949" s="56"/>
      <c r="AB949" s="56"/>
      <c r="AC949" s="54"/>
    </row>
    <row r="950" spans="1:29" s="7" customFormat="1" outlineLevel="2" x14ac:dyDescent="0.25">
      <c r="A950" s="50" t="s">
        <v>5</v>
      </c>
      <c r="B950" s="50" t="s">
        <v>5</v>
      </c>
      <c r="C950" s="50" t="s">
        <v>4</v>
      </c>
      <c r="D950" s="52" t="s">
        <v>211</v>
      </c>
      <c r="E950" s="58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8"/>
      <c r="U950" s="53" t="s">
        <v>2563</v>
      </c>
      <c r="V950" s="54">
        <v>1</v>
      </c>
      <c r="W950" s="55" t="s">
        <v>1019</v>
      </c>
      <c r="X950" s="54"/>
      <c r="Y950" s="54"/>
      <c r="Z950" s="100"/>
      <c r="AA950" s="56"/>
      <c r="AB950" s="56"/>
      <c r="AC950" s="54"/>
    </row>
    <row r="951" spans="1:29" s="7" customFormat="1" outlineLevel="2" x14ac:dyDescent="0.25">
      <c r="A951" s="50" t="s">
        <v>5</v>
      </c>
      <c r="B951" s="50" t="s">
        <v>5</v>
      </c>
      <c r="C951" s="50" t="s">
        <v>4</v>
      </c>
      <c r="D951" s="51" t="s">
        <v>2564</v>
      </c>
      <c r="E951" s="58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8"/>
      <c r="U951" s="53" t="s">
        <v>2348</v>
      </c>
      <c r="V951" s="54">
        <v>1</v>
      </c>
      <c r="W951" s="55" t="s">
        <v>1019</v>
      </c>
      <c r="X951" s="54"/>
      <c r="Y951" s="54"/>
      <c r="Z951" s="100"/>
      <c r="AA951" s="56"/>
      <c r="AB951" s="56"/>
      <c r="AC951" s="54"/>
    </row>
    <row r="952" spans="1:29" s="7" customFormat="1" outlineLevel="3" x14ac:dyDescent="0.25">
      <c r="A952" s="50" t="s">
        <v>5</v>
      </c>
      <c r="B952" s="50" t="s">
        <v>5</v>
      </c>
      <c r="C952" s="50" t="s">
        <v>5</v>
      </c>
      <c r="D952" s="50" t="s">
        <v>4</v>
      </c>
      <c r="E952" s="52" t="s">
        <v>15</v>
      </c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8"/>
      <c r="U952" s="53" t="s">
        <v>182</v>
      </c>
      <c r="V952" s="54">
        <v>1</v>
      </c>
      <c r="W952" s="55" t="s">
        <v>1019</v>
      </c>
      <c r="X952" s="54" t="s">
        <v>8</v>
      </c>
      <c r="Y952" s="75" t="s">
        <v>183</v>
      </c>
      <c r="Z952" s="100"/>
      <c r="AA952" s="56">
        <v>205.53</v>
      </c>
      <c r="AB952" s="56"/>
      <c r="AC952" s="54"/>
    </row>
    <row r="953" spans="1:29" s="7" customFormat="1" outlineLevel="3" x14ac:dyDescent="0.25">
      <c r="A953" s="50" t="s">
        <v>5</v>
      </c>
      <c r="B953" s="50" t="s">
        <v>5</v>
      </c>
      <c r="C953" s="50" t="s">
        <v>5</v>
      </c>
      <c r="D953" s="50" t="s">
        <v>4</v>
      </c>
      <c r="E953" s="52" t="s">
        <v>196</v>
      </c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8"/>
      <c r="U953" s="53"/>
      <c r="V953" s="54">
        <v>0.6</v>
      </c>
      <c r="W953" s="55" t="s">
        <v>1018</v>
      </c>
      <c r="X953" s="54"/>
      <c r="Y953" s="75"/>
      <c r="Z953" s="100"/>
      <c r="AA953" s="56"/>
      <c r="AB953" s="56"/>
      <c r="AC953" s="54"/>
    </row>
    <row r="954" spans="1:29" s="7" customFormat="1" outlineLevel="3" x14ac:dyDescent="0.25">
      <c r="A954" s="50" t="s">
        <v>5</v>
      </c>
      <c r="B954" s="50" t="s">
        <v>5</v>
      </c>
      <c r="C954" s="50" t="s">
        <v>5</v>
      </c>
      <c r="D954" s="50" t="s">
        <v>49</v>
      </c>
      <c r="E954" s="52" t="s">
        <v>1923</v>
      </c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8"/>
      <c r="U954" s="53"/>
      <c r="V954" s="54">
        <v>0.04</v>
      </c>
      <c r="W954" s="55" t="s">
        <v>1018</v>
      </c>
      <c r="X954" s="54"/>
      <c r="Y954" s="60"/>
      <c r="Z954" s="100"/>
      <c r="AA954" s="56"/>
      <c r="AB954" s="56"/>
      <c r="AC954" s="54"/>
    </row>
    <row r="955" spans="1:29" s="7" customFormat="1" outlineLevel="2" x14ac:dyDescent="0.25">
      <c r="A955" s="50" t="s">
        <v>5</v>
      </c>
      <c r="B955" s="50" t="s">
        <v>5</v>
      </c>
      <c r="C955" s="50" t="s">
        <v>4</v>
      </c>
      <c r="D955" s="52" t="s">
        <v>533</v>
      </c>
      <c r="E955" s="58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8"/>
      <c r="U955" s="53" t="s">
        <v>2565</v>
      </c>
      <c r="V955" s="54">
        <v>1</v>
      </c>
      <c r="W955" s="55" t="s">
        <v>1019</v>
      </c>
      <c r="X955" s="54"/>
      <c r="Y955" s="54"/>
      <c r="Z955" s="100"/>
      <c r="AA955" s="56"/>
      <c r="AB955" s="56"/>
      <c r="AC955" s="54"/>
    </row>
    <row r="956" spans="1:29" s="7" customFormat="1" outlineLevel="2" x14ac:dyDescent="0.25">
      <c r="A956" s="50" t="s">
        <v>5</v>
      </c>
      <c r="B956" s="50" t="s">
        <v>5</v>
      </c>
      <c r="C956" s="50" t="s">
        <v>4</v>
      </c>
      <c r="D956" s="52" t="s">
        <v>212</v>
      </c>
      <c r="E956" s="58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8"/>
      <c r="U956" s="53" t="s">
        <v>2566</v>
      </c>
      <c r="V956" s="54">
        <v>1</v>
      </c>
      <c r="W956" s="55" t="s">
        <v>1019</v>
      </c>
      <c r="X956" s="54"/>
      <c r="Y956" s="54"/>
      <c r="Z956" s="100"/>
      <c r="AA956" s="56"/>
      <c r="AB956" s="56"/>
      <c r="AC956" s="54"/>
    </row>
    <row r="957" spans="1:29" s="7" customFormat="1" outlineLevel="2" x14ac:dyDescent="0.25">
      <c r="A957" s="50" t="s">
        <v>5</v>
      </c>
      <c r="B957" s="50" t="s">
        <v>5</v>
      </c>
      <c r="C957" s="50" t="s">
        <v>4</v>
      </c>
      <c r="D957" s="52" t="s">
        <v>1819</v>
      </c>
      <c r="E957" s="58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8"/>
      <c r="U957" s="53"/>
      <c r="V957" s="54">
        <v>4</v>
      </c>
      <c r="W957" s="55" t="s">
        <v>1019</v>
      </c>
      <c r="X957" s="54"/>
      <c r="Y957" s="60"/>
      <c r="Z957" s="100"/>
      <c r="AA957" s="56"/>
      <c r="AB957" s="56"/>
      <c r="AC957" s="54"/>
    </row>
    <row r="958" spans="1:29" s="7" customFormat="1" outlineLevel="2" x14ac:dyDescent="0.25">
      <c r="A958" s="50" t="s">
        <v>5</v>
      </c>
      <c r="B958" s="50" t="s">
        <v>5</v>
      </c>
      <c r="C958" s="50" t="s">
        <v>4</v>
      </c>
      <c r="D958" s="52" t="s">
        <v>1818</v>
      </c>
      <c r="E958" s="58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8"/>
      <c r="U958" s="53"/>
      <c r="V958" s="54">
        <v>6</v>
      </c>
      <c r="W958" s="55" t="s">
        <v>1019</v>
      </c>
      <c r="X958" s="54"/>
      <c r="Y958" s="60"/>
      <c r="Z958" s="100"/>
      <c r="AA958" s="56"/>
      <c r="AB958" s="56"/>
      <c r="AC958" s="54"/>
    </row>
    <row r="959" spans="1:29" s="7" customFormat="1" outlineLevel="2" x14ac:dyDescent="0.25">
      <c r="A959" s="50" t="s">
        <v>5</v>
      </c>
      <c r="B959" s="50" t="s">
        <v>5</v>
      </c>
      <c r="C959" s="50" t="s">
        <v>4</v>
      </c>
      <c r="D959" s="52" t="s">
        <v>1817</v>
      </c>
      <c r="E959" s="58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8"/>
      <c r="U959" s="53"/>
      <c r="V959" s="54">
        <v>4</v>
      </c>
      <c r="W959" s="55" t="s">
        <v>1019</v>
      </c>
      <c r="X959" s="54"/>
      <c r="Y959" s="54"/>
      <c r="Z959" s="100"/>
      <c r="AA959" s="56"/>
      <c r="AB959" s="56"/>
      <c r="AC959" s="54"/>
    </row>
    <row r="960" spans="1:29" s="7" customFormat="1" outlineLevel="2" x14ac:dyDescent="0.25">
      <c r="A960" s="50" t="s">
        <v>5</v>
      </c>
      <c r="B960" s="50" t="s">
        <v>5</v>
      </c>
      <c r="C960" s="50" t="s">
        <v>4</v>
      </c>
      <c r="D960" s="52" t="s">
        <v>1103</v>
      </c>
      <c r="E960" s="58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8"/>
      <c r="U960" s="53"/>
      <c r="V960" s="54">
        <v>4</v>
      </c>
      <c r="W960" s="55" t="s">
        <v>1019</v>
      </c>
      <c r="X960" s="54"/>
      <c r="Y960" s="60"/>
      <c r="Z960" s="100"/>
      <c r="AA960" s="56"/>
      <c r="AB960" s="56"/>
      <c r="AC960" s="54"/>
    </row>
    <row r="961" spans="1:29" s="7" customFormat="1" outlineLevel="2" x14ac:dyDescent="0.25">
      <c r="A961" s="50" t="s">
        <v>5</v>
      </c>
      <c r="B961" s="50" t="s">
        <v>5</v>
      </c>
      <c r="C961" s="50" t="s">
        <v>4</v>
      </c>
      <c r="D961" s="52" t="s">
        <v>1090</v>
      </c>
      <c r="E961" s="58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8"/>
      <c r="U961" s="53"/>
      <c r="V961" s="54">
        <v>4</v>
      </c>
      <c r="W961" s="55" t="s">
        <v>1019</v>
      </c>
      <c r="X961" s="54"/>
      <c r="Y961" s="60"/>
      <c r="Z961" s="100"/>
      <c r="AA961" s="56"/>
      <c r="AB961" s="56"/>
      <c r="AC961" s="54"/>
    </row>
    <row r="962" spans="1:29" s="7" customFormat="1" outlineLevel="2" x14ac:dyDescent="0.25">
      <c r="A962" s="50" t="s">
        <v>5</v>
      </c>
      <c r="B962" s="50" t="s">
        <v>5</v>
      </c>
      <c r="C962" s="50" t="s">
        <v>4</v>
      </c>
      <c r="D962" s="52" t="s">
        <v>1102</v>
      </c>
      <c r="E962" s="58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8"/>
      <c r="U962" s="53"/>
      <c r="V962" s="54">
        <v>1</v>
      </c>
      <c r="W962" s="55" t="s">
        <v>1019</v>
      </c>
      <c r="X962" s="54"/>
      <c r="Y962" s="54"/>
      <c r="Z962" s="100"/>
      <c r="AA962" s="56"/>
      <c r="AB962" s="56"/>
      <c r="AC962" s="54"/>
    </row>
    <row r="963" spans="1:29" s="7" customFormat="1" outlineLevel="2" x14ac:dyDescent="0.25">
      <c r="A963" s="50" t="s">
        <v>5</v>
      </c>
      <c r="B963" s="50" t="s">
        <v>5</v>
      </c>
      <c r="C963" s="50" t="s">
        <v>4</v>
      </c>
      <c r="D963" s="52" t="s">
        <v>304</v>
      </c>
      <c r="E963" s="58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8"/>
      <c r="U963" s="53"/>
      <c r="V963" s="54">
        <v>1</v>
      </c>
      <c r="W963" s="55" t="s">
        <v>1019</v>
      </c>
      <c r="X963" s="54"/>
      <c r="Y963" s="60"/>
      <c r="Z963" s="100"/>
      <c r="AA963" s="56"/>
      <c r="AB963" s="56"/>
      <c r="AC963" s="54"/>
    </row>
    <row r="964" spans="1:29" s="7" customFormat="1" outlineLevel="2" x14ac:dyDescent="0.25">
      <c r="A964" s="50" t="s">
        <v>5</v>
      </c>
      <c r="B964" s="50" t="s">
        <v>5</v>
      </c>
      <c r="C964" s="50" t="s">
        <v>4</v>
      </c>
      <c r="D964" s="52" t="s">
        <v>593</v>
      </c>
      <c r="E964" s="58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8"/>
      <c r="U964" s="53"/>
      <c r="V964" s="54">
        <v>1</v>
      </c>
      <c r="W964" s="55" t="s">
        <v>1019</v>
      </c>
      <c r="X964" s="54"/>
      <c r="Y964" s="60"/>
      <c r="Z964" s="100"/>
      <c r="AA964" s="56"/>
      <c r="AB964" s="56"/>
      <c r="AC964" s="54"/>
    </row>
    <row r="965" spans="1:29" s="7" customFormat="1" outlineLevel="2" x14ac:dyDescent="0.25">
      <c r="A965" s="50" t="s">
        <v>5</v>
      </c>
      <c r="B965" s="50" t="s">
        <v>5</v>
      </c>
      <c r="C965" s="50" t="s">
        <v>4</v>
      </c>
      <c r="D965" s="52" t="s">
        <v>1820</v>
      </c>
      <c r="E965" s="58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8"/>
      <c r="U965" s="53"/>
      <c r="V965" s="54">
        <v>1</v>
      </c>
      <c r="W965" s="55" t="s">
        <v>1019</v>
      </c>
      <c r="X965" s="54"/>
      <c r="Y965" s="54"/>
      <c r="Z965" s="100"/>
      <c r="AA965" s="56"/>
      <c r="AB965" s="56"/>
      <c r="AC965" s="54"/>
    </row>
    <row r="966" spans="1:29" s="7" customFormat="1" outlineLevel="2" x14ac:dyDescent="0.25">
      <c r="A966" s="50" t="s">
        <v>5</v>
      </c>
      <c r="B966" s="50" t="s">
        <v>5</v>
      </c>
      <c r="C966" s="50" t="s">
        <v>4</v>
      </c>
      <c r="D966" s="52" t="s">
        <v>1822</v>
      </c>
      <c r="E966" s="58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8"/>
      <c r="U966" s="53" t="s">
        <v>1821</v>
      </c>
      <c r="V966" s="54">
        <v>1</v>
      </c>
      <c r="W966" s="55" t="s">
        <v>1019</v>
      </c>
      <c r="X966" s="54"/>
      <c r="Y966" s="60"/>
      <c r="Z966" s="100"/>
      <c r="AA966" s="56"/>
      <c r="AB966" s="56"/>
      <c r="AC966" s="54"/>
    </row>
    <row r="967" spans="1:29" s="7" customFormat="1" outlineLevel="2" x14ac:dyDescent="0.25">
      <c r="A967" s="1" t="s">
        <v>5</v>
      </c>
      <c r="B967" s="1" t="s">
        <v>5</v>
      </c>
      <c r="C967" s="1" t="s">
        <v>4</v>
      </c>
      <c r="D967" s="13" t="s">
        <v>594</v>
      </c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U967" s="17"/>
      <c r="V967" s="18">
        <v>1</v>
      </c>
      <c r="W967" s="47" t="s">
        <v>1019</v>
      </c>
      <c r="X967" s="18"/>
      <c r="Y967" s="21"/>
      <c r="Z967" s="98"/>
      <c r="AA967" s="19"/>
      <c r="AB967" s="19"/>
      <c r="AC967" s="18"/>
    </row>
    <row r="968" spans="1:29" s="7" customFormat="1" outlineLevel="2" x14ac:dyDescent="0.25">
      <c r="A968" s="2" t="s">
        <v>5</v>
      </c>
      <c r="B968" s="2" t="s">
        <v>5</v>
      </c>
      <c r="C968" s="2" t="s">
        <v>4</v>
      </c>
      <c r="D968" s="42" t="s">
        <v>595</v>
      </c>
      <c r="E968" s="57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57"/>
      <c r="U968" s="63" t="s">
        <v>596</v>
      </c>
      <c r="V968" s="43">
        <v>1</v>
      </c>
      <c r="W968" s="49" t="s">
        <v>1019</v>
      </c>
      <c r="X968" s="43"/>
      <c r="Y968" s="43"/>
      <c r="Z968" s="99"/>
      <c r="AA968" s="44"/>
      <c r="AB968" s="44"/>
      <c r="AC968" s="43"/>
    </row>
    <row r="969" spans="1:29" s="7" customFormat="1" outlineLevel="2" x14ac:dyDescent="0.25">
      <c r="A969" s="1" t="s">
        <v>5</v>
      </c>
      <c r="B969" s="1" t="s">
        <v>5</v>
      </c>
      <c r="C969" s="1" t="s">
        <v>4</v>
      </c>
      <c r="D969" s="13" t="s">
        <v>597</v>
      </c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U969" s="17"/>
      <c r="V969" s="18">
        <v>2</v>
      </c>
      <c r="W969" s="47" t="s">
        <v>1019</v>
      </c>
      <c r="X969" s="18"/>
      <c r="Y969" s="21"/>
      <c r="Z969" s="98"/>
      <c r="AA969" s="19"/>
      <c r="AB969" s="19"/>
      <c r="AC969" s="18"/>
    </row>
    <row r="970" spans="1:29" s="7" customFormat="1" outlineLevel="2" x14ac:dyDescent="0.25">
      <c r="A970" s="1" t="s">
        <v>5</v>
      </c>
      <c r="B970" s="1" t="s">
        <v>5</v>
      </c>
      <c r="C970" s="1" t="s">
        <v>4</v>
      </c>
      <c r="D970" s="13" t="s">
        <v>598</v>
      </c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U970" s="17"/>
      <c r="V970" s="18">
        <v>1</v>
      </c>
      <c r="W970" s="47" t="s">
        <v>1019</v>
      </c>
      <c r="X970" s="18"/>
      <c r="Y970" s="21"/>
      <c r="Z970" s="98"/>
      <c r="AA970" s="19">
        <v>21</v>
      </c>
      <c r="AB970" s="19"/>
      <c r="AC970" s="18"/>
    </row>
    <row r="971" spans="1:29" s="7" customFormat="1" outlineLevel="2" x14ac:dyDescent="0.25">
      <c r="A971" s="1" t="s">
        <v>5</v>
      </c>
      <c r="B971" s="1" t="s">
        <v>5</v>
      </c>
      <c r="C971" s="1" t="s">
        <v>4</v>
      </c>
      <c r="D971" s="13" t="s">
        <v>185</v>
      </c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U971" s="17" t="s">
        <v>184</v>
      </c>
      <c r="V971" s="18">
        <v>1</v>
      </c>
      <c r="W971" s="47" t="s">
        <v>1019</v>
      </c>
      <c r="X971" s="18"/>
      <c r="Y971" s="18"/>
      <c r="Z971" s="98"/>
      <c r="AA971" s="19">
        <v>65.7</v>
      </c>
      <c r="AB971" s="19"/>
      <c r="AC971" s="18" t="s">
        <v>1823</v>
      </c>
    </row>
    <row r="972" spans="1:29" s="7" customFormat="1" outlineLevel="2" x14ac:dyDescent="0.25">
      <c r="A972" s="1" t="s">
        <v>5</v>
      </c>
      <c r="B972" s="1" t="s">
        <v>5</v>
      </c>
      <c r="C972" s="1" t="s">
        <v>49</v>
      </c>
      <c r="D972" s="13" t="s">
        <v>186</v>
      </c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U972" s="17"/>
      <c r="V972" s="18">
        <v>2</v>
      </c>
      <c r="W972" s="47" t="s">
        <v>1019</v>
      </c>
      <c r="X972" s="18"/>
      <c r="Y972" s="32" t="s">
        <v>187</v>
      </c>
      <c r="Z972" s="98"/>
      <c r="AA972" s="19">
        <v>985</v>
      </c>
      <c r="AB972" s="19"/>
      <c r="AC972" s="18" t="s">
        <v>1824</v>
      </c>
    </row>
    <row r="973" spans="1:29" s="7" customFormat="1" outlineLevel="1" x14ac:dyDescent="0.25">
      <c r="A973" s="1" t="s">
        <v>5</v>
      </c>
      <c r="B973" s="1" t="s">
        <v>4</v>
      </c>
      <c r="C973" s="5" t="s">
        <v>294</v>
      </c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U973" s="17"/>
      <c r="V973" s="18">
        <v>1</v>
      </c>
      <c r="W973" s="47" t="s">
        <v>1019</v>
      </c>
      <c r="X973" s="18"/>
      <c r="Y973" s="32"/>
      <c r="Z973" s="98"/>
      <c r="AA973" s="19"/>
      <c r="AB973" s="19"/>
      <c r="AC973" s="18"/>
    </row>
    <row r="974" spans="1:29" s="7" customFormat="1" outlineLevel="2" x14ac:dyDescent="0.25">
      <c r="A974" s="1" t="s">
        <v>5</v>
      </c>
      <c r="B974" s="1" t="s">
        <v>5</v>
      </c>
      <c r="C974" s="1" t="s">
        <v>4</v>
      </c>
      <c r="D974" s="5" t="s">
        <v>295</v>
      </c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U974" s="17"/>
      <c r="V974" s="18">
        <v>1</v>
      </c>
      <c r="W974" s="47" t="s">
        <v>1019</v>
      </c>
      <c r="X974" s="18"/>
      <c r="Y974" s="32"/>
      <c r="Z974" s="98"/>
      <c r="AA974" s="19"/>
      <c r="AB974" s="19"/>
      <c r="AC974" s="18" t="s">
        <v>305</v>
      </c>
    </row>
    <row r="975" spans="1:29" s="7" customFormat="1" outlineLevel="3" x14ac:dyDescent="0.25">
      <c r="A975" s="1" t="s">
        <v>5</v>
      </c>
      <c r="B975" s="1" t="s">
        <v>5</v>
      </c>
      <c r="C975" s="1" t="s">
        <v>5</v>
      </c>
      <c r="D975" s="1" t="s">
        <v>4</v>
      </c>
      <c r="E975" s="13" t="s">
        <v>324</v>
      </c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U975" s="17"/>
      <c r="V975" s="18">
        <v>8</v>
      </c>
      <c r="W975" s="47" t="s">
        <v>1019</v>
      </c>
      <c r="X975" s="18"/>
      <c r="Y975" s="21"/>
      <c r="Z975" s="98"/>
      <c r="AA975" s="19"/>
      <c r="AB975" s="19"/>
      <c r="AC975" s="18"/>
    </row>
    <row r="976" spans="1:29" s="7" customFormat="1" outlineLevel="3" x14ac:dyDescent="0.25">
      <c r="A976" s="1" t="s">
        <v>5</v>
      </c>
      <c r="B976" s="1" t="s">
        <v>5</v>
      </c>
      <c r="C976" s="1" t="s">
        <v>5</v>
      </c>
      <c r="D976" s="1" t="s">
        <v>4</v>
      </c>
      <c r="E976" s="13" t="s">
        <v>325</v>
      </c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U976" s="17"/>
      <c r="V976" s="18">
        <v>8</v>
      </c>
      <c r="W976" s="47" t="s">
        <v>1019</v>
      </c>
      <c r="X976" s="18"/>
      <c r="Y976" s="21"/>
      <c r="Z976" s="98"/>
      <c r="AA976" s="19"/>
      <c r="AB976" s="19"/>
      <c r="AC976" s="18"/>
    </row>
    <row r="977" spans="1:29" s="7" customFormat="1" outlineLevel="3" x14ac:dyDescent="0.25">
      <c r="A977" s="1" t="s">
        <v>5</v>
      </c>
      <c r="B977" s="1" t="s">
        <v>5</v>
      </c>
      <c r="C977" s="1" t="s">
        <v>5</v>
      </c>
      <c r="D977" s="1" t="s">
        <v>4</v>
      </c>
      <c r="E977" s="13" t="s">
        <v>326</v>
      </c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U977" s="17"/>
      <c r="V977" s="18">
        <v>8</v>
      </c>
      <c r="W977" s="47" t="s">
        <v>1019</v>
      </c>
      <c r="X977" s="18"/>
      <c r="Y977" s="21"/>
      <c r="Z977" s="98"/>
      <c r="AA977" s="19"/>
      <c r="AB977" s="19"/>
      <c r="AC977" s="18"/>
    </row>
    <row r="978" spans="1:29" s="7" customFormat="1" outlineLevel="3" x14ac:dyDescent="0.25">
      <c r="A978" s="1" t="s">
        <v>5</v>
      </c>
      <c r="B978" s="1" t="s">
        <v>5</v>
      </c>
      <c r="C978" s="1" t="s">
        <v>5</v>
      </c>
      <c r="D978" s="1" t="s">
        <v>4</v>
      </c>
      <c r="E978" s="13" t="s">
        <v>329</v>
      </c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U978" s="17"/>
      <c r="V978" s="18">
        <v>8</v>
      </c>
      <c r="W978" s="47" t="s">
        <v>1019</v>
      </c>
      <c r="X978" s="18"/>
      <c r="Y978" s="21"/>
      <c r="Z978" s="98"/>
      <c r="AA978" s="19"/>
      <c r="AB978" s="19"/>
      <c r="AC978" s="18"/>
    </row>
    <row r="979" spans="1:29" s="7" customFormat="1" outlineLevel="3" x14ac:dyDescent="0.25">
      <c r="A979" s="1" t="s">
        <v>5</v>
      </c>
      <c r="B979" s="1" t="s">
        <v>5</v>
      </c>
      <c r="C979" s="1" t="s">
        <v>5</v>
      </c>
      <c r="D979" s="1" t="s">
        <v>49</v>
      </c>
      <c r="E979" s="13" t="s">
        <v>327</v>
      </c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U979" s="17"/>
      <c r="V979" s="18">
        <v>8</v>
      </c>
      <c r="W979" s="47" t="s">
        <v>1019</v>
      </c>
      <c r="X979" s="18"/>
      <c r="Y979" s="21"/>
      <c r="Z979" s="98"/>
      <c r="AA979" s="19"/>
      <c r="AB979" s="19"/>
      <c r="AC979" s="18"/>
    </row>
    <row r="980" spans="1:29" s="7" customFormat="1" outlineLevel="2" x14ac:dyDescent="0.25">
      <c r="A980" s="1" t="s">
        <v>5</v>
      </c>
      <c r="B980" s="1" t="s">
        <v>5</v>
      </c>
      <c r="C980" s="1" t="s">
        <v>4</v>
      </c>
      <c r="D980" s="5" t="s">
        <v>296</v>
      </c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U980" s="17"/>
      <c r="V980" s="18">
        <v>1</v>
      </c>
      <c r="W980" s="47" t="s">
        <v>1019</v>
      </c>
      <c r="X980" s="18"/>
      <c r="Y980" s="32"/>
      <c r="Z980" s="98"/>
      <c r="AA980" s="19"/>
      <c r="AB980" s="19"/>
      <c r="AC980" s="18" t="s">
        <v>305</v>
      </c>
    </row>
    <row r="981" spans="1:29" s="7" customFormat="1" outlineLevel="3" x14ac:dyDescent="0.25">
      <c r="A981" s="1" t="s">
        <v>5</v>
      </c>
      <c r="B981" s="1" t="s">
        <v>5</v>
      </c>
      <c r="C981" s="1" t="s">
        <v>5</v>
      </c>
      <c r="D981" s="1" t="s">
        <v>4</v>
      </c>
      <c r="E981" s="13" t="s">
        <v>325</v>
      </c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U981" s="17"/>
      <c r="V981" s="18">
        <v>8</v>
      </c>
      <c r="W981" s="47" t="s">
        <v>1019</v>
      </c>
      <c r="X981" s="18"/>
      <c r="Y981" s="21"/>
      <c r="Z981" s="98"/>
      <c r="AA981" s="19"/>
      <c r="AB981" s="19"/>
      <c r="AC981" s="18"/>
    </row>
    <row r="982" spans="1:29" s="7" customFormat="1" outlineLevel="3" x14ac:dyDescent="0.25">
      <c r="A982" s="1" t="s">
        <v>5</v>
      </c>
      <c r="B982" s="1" t="s">
        <v>5</v>
      </c>
      <c r="C982" s="1" t="s">
        <v>5</v>
      </c>
      <c r="D982" s="1" t="s">
        <v>4</v>
      </c>
      <c r="E982" s="13" t="s">
        <v>329</v>
      </c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U982" s="17"/>
      <c r="V982" s="18">
        <v>8</v>
      </c>
      <c r="W982" s="47" t="s">
        <v>1019</v>
      </c>
      <c r="X982" s="18"/>
      <c r="Y982" s="21"/>
      <c r="Z982" s="98"/>
      <c r="AA982" s="19"/>
      <c r="AB982" s="19"/>
      <c r="AC982" s="18"/>
    </row>
    <row r="983" spans="1:29" s="7" customFormat="1" outlineLevel="3" x14ac:dyDescent="0.25">
      <c r="A983" s="1" t="s">
        <v>5</v>
      </c>
      <c r="B983" s="1" t="s">
        <v>5</v>
      </c>
      <c r="C983" s="1" t="s">
        <v>5</v>
      </c>
      <c r="D983" s="1" t="s">
        <v>49</v>
      </c>
      <c r="E983" s="13" t="s">
        <v>328</v>
      </c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U983" s="17"/>
      <c r="V983" s="18">
        <v>8</v>
      </c>
      <c r="W983" s="47" t="s">
        <v>1019</v>
      </c>
      <c r="X983" s="18"/>
      <c r="Y983" s="21"/>
      <c r="Z983" s="98"/>
      <c r="AA983" s="19"/>
      <c r="AB983" s="19"/>
      <c r="AC983" s="18"/>
    </row>
    <row r="984" spans="1:29" s="7" customFormat="1" outlineLevel="2" x14ac:dyDescent="0.25">
      <c r="A984" s="1" t="s">
        <v>5</v>
      </c>
      <c r="B984" s="1" t="s">
        <v>5</v>
      </c>
      <c r="C984" s="1" t="s">
        <v>4</v>
      </c>
      <c r="D984" s="5" t="s">
        <v>297</v>
      </c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U984" s="17"/>
      <c r="V984" s="18">
        <v>1</v>
      </c>
      <c r="W984" s="47" t="s">
        <v>1019</v>
      </c>
      <c r="X984" s="18"/>
      <c r="Y984" s="32"/>
      <c r="Z984" s="98"/>
      <c r="AA984" s="19"/>
      <c r="AB984" s="19"/>
      <c r="AC984" s="18" t="s">
        <v>305</v>
      </c>
    </row>
    <row r="985" spans="1:29" s="7" customFormat="1" outlineLevel="3" x14ac:dyDescent="0.25">
      <c r="A985" s="1" t="s">
        <v>5</v>
      </c>
      <c r="B985" s="1" t="s">
        <v>5</v>
      </c>
      <c r="C985" s="1" t="s">
        <v>5</v>
      </c>
      <c r="D985" s="1" t="s">
        <v>4</v>
      </c>
      <c r="E985" s="13" t="s">
        <v>324</v>
      </c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U985" s="17"/>
      <c r="V985" s="18">
        <v>16</v>
      </c>
      <c r="W985" s="47" t="s">
        <v>1019</v>
      </c>
      <c r="X985" s="18"/>
      <c r="Y985" s="23"/>
      <c r="Z985" s="98"/>
      <c r="AA985" s="19"/>
      <c r="AB985" s="19"/>
      <c r="AC985" s="18"/>
    </row>
    <row r="986" spans="1:29" s="7" customFormat="1" outlineLevel="3" x14ac:dyDescent="0.25">
      <c r="A986" s="1" t="s">
        <v>5</v>
      </c>
      <c r="B986" s="1" t="s">
        <v>5</v>
      </c>
      <c r="C986" s="1" t="s">
        <v>5</v>
      </c>
      <c r="D986" s="1" t="s">
        <v>4</v>
      </c>
      <c r="E986" s="13" t="s">
        <v>325</v>
      </c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U986" s="17"/>
      <c r="V986" s="18">
        <v>8</v>
      </c>
      <c r="W986" s="47" t="s">
        <v>1019</v>
      </c>
      <c r="X986" s="18"/>
      <c r="Y986" s="21"/>
      <c r="Z986" s="98"/>
      <c r="AA986" s="19"/>
      <c r="AB986" s="19"/>
      <c r="AC986" s="18"/>
    </row>
    <row r="987" spans="1:29" s="7" customFormat="1" outlineLevel="3" x14ac:dyDescent="0.25">
      <c r="A987" s="1" t="s">
        <v>5</v>
      </c>
      <c r="B987" s="1" t="s">
        <v>5</v>
      </c>
      <c r="C987" s="1" t="s">
        <v>5</v>
      </c>
      <c r="D987" s="1" t="s">
        <v>4</v>
      </c>
      <c r="E987" s="13" t="s">
        <v>326</v>
      </c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U987" s="17"/>
      <c r="V987" s="18">
        <v>16</v>
      </c>
      <c r="W987" s="47" t="s">
        <v>1019</v>
      </c>
      <c r="X987" s="18"/>
      <c r="Y987" s="21"/>
      <c r="Z987" s="98"/>
      <c r="AA987" s="19"/>
      <c r="AB987" s="19"/>
      <c r="AC987" s="18"/>
    </row>
    <row r="988" spans="1:29" s="7" customFormat="1" outlineLevel="3" x14ac:dyDescent="0.25">
      <c r="A988" s="1" t="s">
        <v>5</v>
      </c>
      <c r="B988" s="1" t="s">
        <v>5</v>
      </c>
      <c r="C988" s="1" t="s">
        <v>5</v>
      </c>
      <c r="D988" s="1" t="s">
        <v>4</v>
      </c>
      <c r="E988" s="13" t="s">
        <v>329</v>
      </c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U988" s="17"/>
      <c r="V988" s="18">
        <v>8</v>
      </c>
      <c r="W988" s="47" t="s">
        <v>1019</v>
      </c>
      <c r="X988" s="18"/>
      <c r="Y988" s="21"/>
      <c r="Z988" s="98"/>
      <c r="AA988" s="19"/>
      <c r="AB988" s="19"/>
      <c r="AC988" s="18"/>
    </row>
    <row r="989" spans="1:29" s="7" customFormat="1" outlineLevel="3" x14ac:dyDescent="0.25">
      <c r="A989" s="1" t="s">
        <v>5</v>
      </c>
      <c r="B989" s="1" t="s">
        <v>5</v>
      </c>
      <c r="C989" s="1" t="s">
        <v>5</v>
      </c>
      <c r="D989" s="1" t="s">
        <v>4</v>
      </c>
      <c r="E989" s="13" t="s">
        <v>327</v>
      </c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U989" s="17"/>
      <c r="V989" s="18">
        <v>16</v>
      </c>
      <c r="W989" s="47" t="s">
        <v>1019</v>
      </c>
      <c r="X989" s="18"/>
      <c r="Y989" s="21"/>
      <c r="Z989" s="98"/>
      <c r="AA989" s="19"/>
      <c r="AB989" s="19"/>
      <c r="AC989" s="18"/>
    </row>
    <row r="990" spans="1:29" s="7" customFormat="1" outlineLevel="3" x14ac:dyDescent="0.25">
      <c r="A990" s="1" t="s">
        <v>5</v>
      </c>
      <c r="B990" s="1" t="s">
        <v>5</v>
      </c>
      <c r="C990" s="1" t="s">
        <v>5</v>
      </c>
      <c r="D990" s="1" t="s">
        <v>49</v>
      </c>
      <c r="E990" s="13" t="s">
        <v>328</v>
      </c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U990" s="17"/>
      <c r="V990" s="18">
        <v>8</v>
      </c>
      <c r="W990" s="47" t="s">
        <v>1019</v>
      </c>
      <c r="X990" s="18"/>
      <c r="Y990" s="21"/>
      <c r="Z990" s="98"/>
      <c r="AA990" s="19"/>
      <c r="AB990" s="19"/>
      <c r="AC990" s="18"/>
    </row>
    <row r="991" spans="1:29" s="7" customFormat="1" outlineLevel="2" x14ac:dyDescent="0.25">
      <c r="A991" s="1" t="s">
        <v>5</v>
      </c>
      <c r="B991" s="1" t="s">
        <v>5</v>
      </c>
      <c r="C991" s="1" t="s">
        <v>4</v>
      </c>
      <c r="D991" s="5" t="s">
        <v>298</v>
      </c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U991" s="17"/>
      <c r="V991" s="18">
        <v>1</v>
      </c>
      <c r="W991" s="47" t="s">
        <v>1019</v>
      </c>
      <c r="X991" s="18"/>
      <c r="Y991" s="32"/>
      <c r="Z991" s="98"/>
      <c r="AA991" s="19"/>
      <c r="AB991" s="19"/>
      <c r="AC991" s="18"/>
    </row>
    <row r="992" spans="1:29" s="7" customFormat="1" outlineLevel="3" x14ac:dyDescent="0.25">
      <c r="A992" s="1" t="s">
        <v>5</v>
      </c>
      <c r="B992" s="1" t="s">
        <v>5</v>
      </c>
      <c r="C992" s="1" t="s">
        <v>5</v>
      </c>
      <c r="D992" s="1" t="s">
        <v>49</v>
      </c>
      <c r="E992" s="13" t="s">
        <v>323</v>
      </c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U992" s="17"/>
      <c r="V992" s="18">
        <v>2</v>
      </c>
      <c r="W992" s="47" t="s">
        <v>1019</v>
      </c>
      <c r="X992" s="18"/>
      <c r="Y992" s="21"/>
      <c r="Z992" s="98"/>
      <c r="AA992" s="19"/>
      <c r="AB992" s="19"/>
      <c r="AC992" s="18"/>
    </row>
    <row r="993" spans="1:29" s="7" customFormat="1" outlineLevel="2" x14ac:dyDescent="0.25">
      <c r="A993" s="1" t="s">
        <v>5</v>
      </c>
      <c r="B993" s="1" t="s">
        <v>5</v>
      </c>
      <c r="C993" s="1" t="s">
        <v>4</v>
      </c>
      <c r="D993" s="5" t="s">
        <v>299</v>
      </c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U993" s="17"/>
      <c r="V993" s="18">
        <v>1</v>
      </c>
      <c r="W993" s="47" t="s">
        <v>1019</v>
      </c>
      <c r="X993" s="18"/>
      <c r="Y993" s="32"/>
      <c r="Z993" s="98"/>
      <c r="AA993" s="19"/>
      <c r="AB993" s="19"/>
      <c r="AC993" s="18" t="s">
        <v>306</v>
      </c>
    </row>
    <row r="994" spans="1:29" s="7" customFormat="1" outlineLevel="3" x14ac:dyDescent="0.25">
      <c r="A994" s="1" t="s">
        <v>5</v>
      </c>
      <c r="B994" s="1" t="s">
        <v>5</v>
      </c>
      <c r="C994" s="1" t="s">
        <v>5</v>
      </c>
      <c r="D994" s="1" t="s">
        <v>4</v>
      </c>
      <c r="E994" s="5" t="s">
        <v>2567</v>
      </c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U994" s="17"/>
      <c r="V994" s="18">
        <v>1</v>
      </c>
      <c r="W994" s="47" t="s">
        <v>1019</v>
      </c>
      <c r="X994" s="18"/>
      <c r="Y994" s="32"/>
      <c r="Z994" s="98"/>
      <c r="AA994" s="19"/>
      <c r="AB994" s="19"/>
      <c r="AC994" s="18" t="s">
        <v>306</v>
      </c>
    </row>
    <row r="995" spans="1:29" s="7" customFormat="1" outlineLevel="4" x14ac:dyDescent="0.25">
      <c r="A995" s="1" t="s">
        <v>5</v>
      </c>
      <c r="B995" s="1" t="s">
        <v>5</v>
      </c>
      <c r="C995" s="1" t="s">
        <v>5</v>
      </c>
      <c r="D995" s="1" t="s">
        <v>5</v>
      </c>
      <c r="E995" s="1" t="s">
        <v>4</v>
      </c>
      <c r="F995" s="13" t="s">
        <v>317</v>
      </c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U995" s="17" t="s">
        <v>2568</v>
      </c>
      <c r="V995" s="18">
        <v>2</v>
      </c>
      <c r="W995" s="47" t="s">
        <v>1019</v>
      </c>
      <c r="X995" s="18"/>
      <c r="Y995" s="21"/>
      <c r="Z995" s="98"/>
      <c r="AA995" s="19"/>
      <c r="AB995" s="19"/>
      <c r="AC995" s="18"/>
    </row>
    <row r="996" spans="1:29" s="7" customFormat="1" outlineLevel="4" x14ac:dyDescent="0.25">
      <c r="A996" s="1" t="s">
        <v>5</v>
      </c>
      <c r="B996" s="1" t="s">
        <v>5</v>
      </c>
      <c r="C996" s="1" t="s">
        <v>5</v>
      </c>
      <c r="D996" s="1" t="s">
        <v>5</v>
      </c>
      <c r="E996" s="1" t="s">
        <v>4</v>
      </c>
      <c r="F996" s="13" t="s">
        <v>318</v>
      </c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U996" s="17" t="s">
        <v>318</v>
      </c>
      <c r="V996" s="18">
        <v>4</v>
      </c>
      <c r="W996" s="47" t="s">
        <v>1019</v>
      </c>
      <c r="X996" s="18"/>
      <c r="Y996" s="21"/>
      <c r="Z996" s="98"/>
      <c r="AA996" s="19"/>
      <c r="AB996" s="19"/>
      <c r="AC996" s="18"/>
    </row>
    <row r="997" spans="1:29" s="7" customFormat="1" outlineLevel="4" x14ac:dyDescent="0.25">
      <c r="A997" s="1" t="s">
        <v>5</v>
      </c>
      <c r="B997" s="1" t="s">
        <v>5</v>
      </c>
      <c r="C997" s="1" t="s">
        <v>5</v>
      </c>
      <c r="D997" s="1" t="s">
        <v>5</v>
      </c>
      <c r="E997" s="1" t="s">
        <v>4</v>
      </c>
      <c r="F997" s="13" t="s">
        <v>319</v>
      </c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U997" s="17" t="s">
        <v>319</v>
      </c>
      <c r="V997" s="18">
        <v>4</v>
      </c>
      <c r="W997" s="47" t="s">
        <v>1019</v>
      </c>
      <c r="X997" s="18"/>
      <c r="Y997" s="21"/>
      <c r="Z997" s="98"/>
      <c r="AA997" s="19"/>
      <c r="AB997" s="19"/>
      <c r="AC997" s="18"/>
    </row>
    <row r="998" spans="1:29" s="7" customFormat="1" outlineLevel="4" x14ac:dyDescent="0.25">
      <c r="A998" s="1" t="s">
        <v>5</v>
      </c>
      <c r="B998" s="1" t="s">
        <v>5</v>
      </c>
      <c r="C998" s="1" t="s">
        <v>5</v>
      </c>
      <c r="D998" s="1" t="s">
        <v>5</v>
      </c>
      <c r="E998" s="1" t="s">
        <v>4</v>
      </c>
      <c r="F998" s="13" t="s">
        <v>320</v>
      </c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U998" s="17" t="s">
        <v>320</v>
      </c>
      <c r="V998" s="18">
        <v>4</v>
      </c>
      <c r="W998" s="47" t="s">
        <v>1019</v>
      </c>
      <c r="X998" s="18"/>
      <c r="Y998" s="23" t="s">
        <v>322</v>
      </c>
      <c r="Z998" s="98"/>
      <c r="AA998" s="19"/>
      <c r="AB998" s="19"/>
      <c r="AC998" s="18"/>
    </row>
    <row r="999" spans="1:29" s="7" customFormat="1" outlineLevel="4" x14ac:dyDescent="0.25">
      <c r="A999" s="1" t="s">
        <v>5</v>
      </c>
      <c r="B999" s="1" t="s">
        <v>5</v>
      </c>
      <c r="C999" s="1" t="s">
        <v>5</v>
      </c>
      <c r="D999" s="1" t="s">
        <v>5</v>
      </c>
      <c r="E999" s="1" t="s">
        <v>49</v>
      </c>
      <c r="F999" s="13" t="s">
        <v>321</v>
      </c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U999" s="17" t="s">
        <v>2569</v>
      </c>
      <c r="V999" s="18">
        <v>4</v>
      </c>
      <c r="W999" s="47" t="s">
        <v>1019</v>
      </c>
      <c r="X999" s="18"/>
      <c r="Y999" s="21"/>
      <c r="Z999" s="98"/>
      <c r="AA999" s="19"/>
      <c r="AB999" s="19"/>
      <c r="AC999" s="18"/>
    </row>
    <row r="1000" spans="1:29" s="7" customFormat="1" outlineLevel="3" x14ac:dyDescent="0.25">
      <c r="A1000" s="1" t="s">
        <v>5</v>
      </c>
      <c r="B1000" s="1" t="s">
        <v>5</v>
      </c>
      <c r="C1000" s="1" t="s">
        <v>5</v>
      </c>
      <c r="D1000" s="1" t="s">
        <v>49</v>
      </c>
      <c r="E1000" s="5" t="s">
        <v>2570</v>
      </c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U1000" s="17"/>
      <c r="V1000" s="18">
        <v>1</v>
      </c>
      <c r="W1000" s="47" t="s">
        <v>1019</v>
      </c>
      <c r="X1000" s="18"/>
      <c r="Y1000" s="32"/>
      <c r="Z1000" s="98"/>
      <c r="AA1000" s="19"/>
      <c r="AB1000" s="19"/>
      <c r="AC1000" s="18" t="s">
        <v>306</v>
      </c>
    </row>
    <row r="1001" spans="1:29" s="7" customFormat="1" outlineLevel="4" x14ac:dyDescent="0.25">
      <c r="A1001" s="1" t="s">
        <v>5</v>
      </c>
      <c r="B1001" s="1" t="s">
        <v>5</v>
      </c>
      <c r="C1001" s="1" t="s">
        <v>5</v>
      </c>
      <c r="E1001" s="1" t="s">
        <v>4</v>
      </c>
      <c r="F1001" s="13" t="s">
        <v>312</v>
      </c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U1001" s="17" t="s">
        <v>312</v>
      </c>
      <c r="V1001" s="18">
        <v>4</v>
      </c>
      <c r="W1001" s="47" t="s">
        <v>1019</v>
      </c>
      <c r="X1001" s="18"/>
      <c r="Y1001" s="21"/>
      <c r="Z1001" s="98"/>
      <c r="AA1001" s="19"/>
      <c r="AB1001" s="19"/>
      <c r="AC1001" s="18" t="s">
        <v>316</v>
      </c>
    </row>
    <row r="1002" spans="1:29" s="7" customFormat="1" outlineLevel="4" x14ac:dyDescent="0.25">
      <c r="A1002" s="1" t="s">
        <v>5</v>
      </c>
      <c r="B1002" s="1" t="s">
        <v>5</v>
      </c>
      <c r="C1002" s="1" t="s">
        <v>5</v>
      </c>
      <c r="E1002" s="1" t="s">
        <v>4</v>
      </c>
      <c r="F1002" s="13" t="s">
        <v>313</v>
      </c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U1002" s="17" t="s">
        <v>313</v>
      </c>
      <c r="V1002" s="18">
        <v>4</v>
      </c>
      <c r="W1002" s="47" t="s">
        <v>1019</v>
      </c>
      <c r="X1002" s="18"/>
      <c r="Y1002" s="21"/>
      <c r="Z1002" s="98"/>
      <c r="AA1002" s="19"/>
      <c r="AB1002" s="19"/>
      <c r="AC1002" s="18" t="s">
        <v>316</v>
      </c>
    </row>
    <row r="1003" spans="1:29" s="7" customFormat="1" outlineLevel="4" x14ac:dyDescent="0.25">
      <c r="A1003" s="1" t="s">
        <v>5</v>
      </c>
      <c r="B1003" s="1" t="s">
        <v>5</v>
      </c>
      <c r="C1003" s="1" t="s">
        <v>5</v>
      </c>
      <c r="E1003" s="1" t="s">
        <v>4</v>
      </c>
      <c r="F1003" s="13" t="s">
        <v>314</v>
      </c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U1003" s="17" t="s">
        <v>314</v>
      </c>
      <c r="V1003" s="18">
        <v>4</v>
      </c>
      <c r="W1003" s="47" t="s">
        <v>1019</v>
      </c>
      <c r="X1003" s="18"/>
      <c r="Y1003" s="21"/>
      <c r="Z1003" s="98"/>
      <c r="AA1003" s="19"/>
      <c r="AB1003" s="19"/>
      <c r="AC1003" s="18" t="s">
        <v>316</v>
      </c>
    </row>
    <row r="1004" spans="1:29" s="7" customFormat="1" outlineLevel="4" x14ac:dyDescent="0.25">
      <c r="A1004" s="1" t="s">
        <v>5</v>
      </c>
      <c r="B1004" s="1" t="s">
        <v>5</v>
      </c>
      <c r="C1004" s="1" t="s">
        <v>5</v>
      </c>
      <c r="E1004" s="1" t="s">
        <v>49</v>
      </c>
      <c r="F1004" s="13" t="s">
        <v>315</v>
      </c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U1004" s="17" t="s">
        <v>315</v>
      </c>
      <c r="V1004" s="18">
        <v>4</v>
      </c>
      <c r="W1004" s="47" t="s">
        <v>1019</v>
      </c>
      <c r="X1004" s="18"/>
      <c r="Y1004" s="21"/>
      <c r="Z1004" s="98"/>
      <c r="AA1004" s="19"/>
      <c r="AB1004" s="19"/>
      <c r="AC1004" s="18" t="s">
        <v>316</v>
      </c>
    </row>
    <row r="1005" spans="1:29" s="7" customFormat="1" outlineLevel="2" x14ac:dyDescent="0.25">
      <c r="A1005" s="1" t="s">
        <v>5</v>
      </c>
      <c r="B1005" s="1" t="s">
        <v>5</v>
      </c>
      <c r="C1005" s="1" t="s">
        <v>4</v>
      </c>
      <c r="D1005" s="5" t="s">
        <v>301</v>
      </c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U1005" s="17"/>
      <c r="V1005" s="18">
        <v>1</v>
      </c>
      <c r="W1005" s="47" t="s">
        <v>1019</v>
      </c>
      <c r="X1005" s="18"/>
      <c r="Y1005" s="32"/>
      <c r="Z1005" s="98"/>
      <c r="AA1005" s="19"/>
      <c r="AB1005" s="19"/>
      <c r="AC1005" s="18" t="s">
        <v>307</v>
      </c>
    </row>
    <row r="1006" spans="1:29" s="7" customFormat="1" outlineLevel="3" x14ac:dyDescent="0.25">
      <c r="A1006" s="1" t="s">
        <v>5</v>
      </c>
      <c r="B1006" s="1" t="s">
        <v>5</v>
      </c>
      <c r="C1006" s="1" t="s">
        <v>5</v>
      </c>
      <c r="D1006" s="1" t="s">
        <v>4</v>
      </c>
      <c r="E1006" s="13" t="s">
        <v>1787</v>
      </c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U1006" s="17"/>
      <c r="V1006" s="18">
        <v>4</v>
      </c>
      <c r="W1006" s="47" t="s">
        <v>1019</v>
      </c>
      <c r="X1006" s="18"/>
      <c r="Y1006" s="32"/>
      <c r="Z1006" s="98"/>
      <c r="AA1006" s="19"/>
      <c r="AB1006" s="19"/>
      <c r="AC1006" s="18"/>
    </row>
    <row r="1007" spans="1:29" s="7" customFormat="1" outlineLevel="3" x14ac:dyDescent="0.25">
      <c r="A1007" s="1" t="s">
        <v>5</v>
      </c>
      <c r="B1007" s="1" t="s">
        <v>5</v>
      </c>
      <c r="C1007" s="1" t="s">
        <v>5</v>
      </c>
      <c r="D1007" s="1" t="s">
        <v>49</v>
      </c>
      <c r="E1007" s="13" t="s">
        <v>309</v>
      </c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U1007" s="17"/>
      <c r="V1007" s="18">
        <v>4</v>
      </c>
      <c r="W1007" s="47" t="s">
        <v>1019</v>
      </c>
      <c r="X1007" s="18"/>
      <c r="Y1007" s="32"/>
      <c r="Z1007" s="98"/>
      <c r="AA1007" s="19"/>
      <c r="AB1007" s="19"/>
      <c r="AC1007" s="18"/>
    </row>
    <row r="1008" spans="1:29" s="7" customFormat="1" outlineLevel="2" x14ac:dyDescent="0.25">
      <c r="A1008" s="1" t="s">
        <v>5</v>
      </c>
      <c r="B1008" s="1" t="s">
        <v>5</v>
      </c>
      <c r="C1008" s="1" t="s">
        <v>49</v>
      </c>
      <c r="D1008" s="5" t="s">
        <v>300</v>
      </c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U1008" s="17"/>
      <c r="V1008" s="18">
        <v>1</v>
      </c>
      <c r="W1008" s="47" t="s">
        <v>1019</v>
      </c>
      <c r="X1008" s="18"/>
      <c r="Y1008" s="32"/>
      <c r="Z1008" s="98"/>
      <c r="AA1008" s="19"/>
      <c r="AB1008" s="19"/>
      <c r="AC1008" s="18" t="s">
        <v>308</v>
      </c>
    </row>
    <row r="1009" spans="1:29" s="7" customFormat="1" outlineLevel="3" x14ac:dyDescent="0.25">
      <c r="A1009" s="1" t="s">
        <v>5</v>
      </c>
      <c r="B1009" s="1" t="s">
        <v>5</v>
      </c>
      <c r="C1009" s="4"/>
      <c r="D1009" s="1" t="s">
        <v>4</v>
      </c>
      <c r="E1009" s="13" t="s">
        <v>302</v>
      </c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U1009" s="17"/>
      <c r="V1009" s="18">
        <v>4</v>
      </c>
      <c r="W1009" s="47" t="s">
        <v>1019</v>
      </c>
      <c r="X1009" s="18"/>
      <c r="Y1009" s="32"/>
      <c r="Z1009" s="98"/>
      <c r="AA1009" s="19"/>
      <c r="AB1009" s="19"/>
      <c r="AC1009" s="18"/>
    </row>
    <row r="1010" spans="1:29" s="7" customFormat="1" outlineLevel="3" x14ac:dyDescent="0.25">
      <c r="A1010" s="1" t="s">
        <v>5</v>
      </c>
      <c r="B1010" s="1" t="s">
        <v>5</v>
      </c>
      <c r="C1010" s="4"/>
      <c r="D1010" s="1" t="s">
        <v>4</v>
      </c>
      <c r="E1010" s="13" t="s">
        <v>303</v>
      </c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U1010" s="17"/>
      <c r="V1010" s="18">
        <v>8</v>
      </c>
      <c r="W1010" s="47" t="s">
        <v>1019</v>
      </c>
      <c r="X1010" s="18"/>
      <c r="Y1010" s="32"/>
      <c r="Z1010" s="98"/>
      <c r="AA1010" s="19"/>
      <c r="AB1010" s="19"/>
      <c r="AC1010" s="18"/>
    </row>
    <row r="1011" spans="1:29" s="7" customFormat="1" outlineLevel="3" x14ac:dyDescent="0.25">
      <c r="A1011" s="1" t="s">
        <v>5</v>
      </c>
      <c r="B1011" s="1" t="s">
        <v>5</v>
      </c>
      <c r="C1011" s="4"/>
      <c r="D1011" s="1" t="s">
        <v>49</v>
      </c>
      <c r="E1011" s="13" t="s">
        <v>304</v>
      </c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U1011" s="17"/>
      <c r="V1011" s="18">
        <v>4</v>
      </c>
      <c r="W1011" s="47" t="s">
        <v>1019</v>
      </c>
      <c r="X1011" s="18"/>
      <c r="Y1011" s="32"/>
      <c r="Z1011" s="98"/>
      <c r="AA1011" s="19"/>
      <c r="AB1011" s="19"/>
      <c r="AC1011" s="18"/>
    </row>
    <row r="1012" spans="1:29" s="7" customFormat="1" outlineLevel="1" x14ac:dyDescent="0.25">
      <c r="A1012" s="1" t="s">
        <v>5</v>
      </c>
      <c r="B1012" s="1" t="s">
        <v>4</v>
      </c>
      <c r="C1012" s="13" t="s">
        <v>291</v>
      </c>
      <c r="D1012" s="13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U1012" s="17" t="s">
        <v>2349</v>
      </c>
      <c r="V1012" s="18">
        <v>1</v>
      </c>
      <c r="W1012" s="47" t="s">
        <v>1019</v>
      </c>
      <c r="X1012" s="18"/>
      <c r="Y1012" s="32"/>
      <c r="Z1012" s="98"/>
      <c r="AA1012" s="19"/>
      <c r="AB1012" s="19"/>
      <c r="AC1012" s="18"/>
    </row>
    <row r="1013" spans="1:29" s="7" customFormat="1" outlineLevel="1" x14ac:dyDescent="0.25">
      <c r="A1013" s="1" t="s">
        <v>5</v>
      </c>
      <c r="B1013" s="1" t="s">
        <v>4</v>
      </c>
      <c r="C1013" s="13" t="s">
        <v>292</v>
      </c>
      <c r="D1013" s="13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U1013" s="17" t="s">
        <v>2350</v>
      </c>
      <c r="V1013" s="18">
        <v>1</v>
      </c>
      <c r="W1013" s="47" t="s">
        <v>1019</v>
      </c>
      <c r="X1013" s="18"/>
      <c r="Y1013" s="32"/>
      <c r="Z1013" s="98"/>
      <c r="AA1013" s="19"/>
      <c r="AB1013" s="19"/>
      <c r="AC1013" s="18"/>
    </row>
    <row r="1014" spans="1:29" s="7" customFormat="1" outlineLevel="1" x14ac:dyDescent="0.25">
      <c r="A1014" s="1" t="s">
        <v>5</v>
      </c>
      <c r="B1014" s="1" t="s">
        <v>4</v>
      </c>
      <c r="C1014" s="13" t="s">
        <v>293</v>
      </c>
      <c r="D1014" s="13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U1014" s="17" t="s">
        <v>2351</v>
      </c>
      <c r="V1014" s="18">
        <v>1</v>
      </c>
      <c r="W1014" s="47" t="s">
        <v>1019</v>
      </c>
      <c r="X1014" s="18"/>
      <c r="Y1014" s="32"/>
      <c r="Z1014" s="98"/>
      <c r="AA1014" s="19"/>
      <c r="AB1014" s="19"/>
      <c r="AC1014" s="18"/>
    </row>
    <row r="1015" spans="1:29" s="7" customFormat="1" outlineLevel="1" x14ac:dyDescent="0.25">
      <c r="A1015" s="1" t="s">
        <v>5</v>
      </c>
      <c r="B1015" s="1" t="s">
        <v>4</v>
      </c>
      <c r="C1015" s="5" t="s">
        <v>330</v>
      </c>
      <c r="D1015" s="13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U1015" s="17" t="s">
        <v>2571</v>
      </c>
      <c r="V1015" s="18">
        <v>2</v>
      </c>
      <c r="W1015" s="47" t="s">
        <v>1019</v>
      </c>
      <c r="X1015" s="18"/>
      <c r="Y1015" s="32"/>
      <c r="Z1015" s="98" t="s">
        <v>2001</v>
      </c>
      <c r="AA1015" s="19"/>
      <c r="AB1015" s="19"/>
      <c r="AC1015" s="18"/>
    </row>
    <row r="1016" spans="1:29" s="7" customFormat="1" outlineLevel="2" x14ac:dyDescent="0.25">
      <c r="A1016" s="1" t="s">
        <v>5</v>
      </c>
      <c r="B1016" s="1" t="s">
        <v>5</v>
      </c>
      <c r="C1016" s="1" t="s">
        <v>49</v>
      </c>
      <c r="D1016" s="13" t="s">
        <v>344</v>
      </c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U1016" s="17" t="s">
        <v>2352</v>
      </c>
      <c r="V1016" s="18">
        <v>1</v>
      </c>
      <c r="W1016" s="47" t="s">
        <v>1019</v>
      </c>
      <c r="X1016" s="18"/>
      <c r="Y1016" s="32"/>
      <c r="Z1016" s="98"/>
      <c r="AA1016" s="19"/>
      <c r="AB1016" s="19"/>
      <c r="AC1016" s="18"/>
    </row>
    <row r="1017" spans="1:29" s="7" customFormat="1" outlineLevel="1" x14ac:dyDescent="0.25">
      <c r="A1017" s="1" t="s">
        <v>5</v>
      </c>
      <c r="B1017" s="1" t="s">
        <v>4</v>
      </c>
      <c r="C1017" s="13" t="s">
        <v>331</v>
      </c>
      <c r="D1017" s="13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U1017" s="17" t="s">
        <v>338</v>
      </c>
      <c r="V1017" s="18">
        <v>0.1</v>
      </c>
      <c r="W1017" s="47" t="s">
        <v>1124</v>
      </c>
      <c r="X1017" s="18"/>
      <c r="Y1017" s="32"/>
      <c r="Z1017" s="98" t="s">
        <v>2002</v>
      </c>
      <c r="AA1017" s="19"/>
      <c r="AB1017" s="19"/>
      <c r="AC1017" s="18" t="s">
        <v>343</v>
      </c>
    </row>
    <row r="1018" spans="1:29" s="7" customFormat="1" outlineLevel="1" x14ac:dyDescent="0.25">
      <c r="A1018" s="1" t="s">
        <v>5</v>
      </c>
      <c r="B1018" s="1" t="s">
        <v>4</v>
      </c>
      <c r="C1018" s="13" t="s">
        <v>332</v>
      </c>
      <c r="D1018" s="13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U1018" s="17" t="s">
        <v>339</v>
      </c>
      <c r="V1018" s="18">
        <v>1</v>
      </c>
      <c r="W1018" s="47" t="s">
        <v>1019</v>
      </c>
      <c r="X1018" s="18"/>
      <c r="Y1018" s="32"/>
      <c r="Z1018" s="98"/>
      <c r="AA1018" s="19"/>
      <c r="AB1018" s="19"/>
      <c r="AC1018" s="18"/>
    </row>
    <row r="1019" spans="1:29" s="7" customFormat="1" outlineLevel="1" x14ac:dyDescent="0.25">
      <c r="A1019" s="1" t="s">
        <v>5</v>
      </c>
      <c r="B1019" s="1" t="s">
        <v>4</v>
      </c>
      <c r="C1019" s="13" t="s">
        <v>337</v>
      </c>
      <c r="D1019" s="13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U1019" s="17" t="s">
        <v>342</v>
      </c>
      <c r="V1019" s="18">
        <v>1</v>
      </c>
      <c r="W1019" s="47" t="s">
        <v>1019</v>
      </c>
      <c r="X1019" s="18"/>
      <c r="Y1019" s="32"/>
      <c r="Z1019" s="98" t="s">
        <v>2003</v>
      </c>
      <c r="AA1019" s="19"/>
      <c r="AB1019" s="19"/>
      <c r="AC1019" s="18"/>
    </row>
    <row r="1020" spans="1:29" s="7" customFormat="1" outlineLevel="1" x14ac:dyDescent="0.25">
      <c r="A1020" s="1" t="s">
        <v>5</v>
      </c>
      <c r="B1020" s="1" t="s">
        <v>4</v>
      </c>
      <c r="C1020" s="5" t="s">
        <v>1048</v>
      </c>
      <c r="D1020" s="13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U1020" s="17" t="s">
        <v>2353</v>
      </c>
      <c r="V1020" s="18">
        <v>1</v>
      </c>
      <c r="W1020" s="47" t="s">
        <v>1019</v>
      </c>
      <c r="X1020" s="18"/>
      <c r="Y1020" s="32"/>
      <c r="Z1020" s="98" t="s">
        <v>2006</v>
      </c>
      <c r="AA1020" s="19"/>
      <c r="AB1020" s="19"/>
      <c r="AC1020" s="18"/>
    </row>
    <row r="1021" spans="1:29" s="7" customFormat="1" outlineLevel="2" x14ac:dyDescent="0.25">
      <c r="A1021" s="1" t="s">
        <v>5</v>
      </c>
      <c r="B1021" s="1" t="s">
        <v>5</v>
      </c>
      <c r="C1021" s="1" t="s">
        <v>49</v>
      </c>
      <c r="D1021" s="13" t="s">
        <v>333</v>
      </c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U1021" s="17" t="s">
        <v>340</v>
      </c>
      <c r="V1021" s="18">
        <v>1</v>
      </c>
      <c r="W1021" s="47" t="s">
        <v>1019</v>
      </c>
      <c r="X1021" s="18"/>
      <c r="Y1021" s="32"/>
      <c r="Z1021" s="98"/>
      <c r="AA1021" s="19"/>
      <c r="AB1021" s="19"/>
      <c r="AC1021" s="18"/>
    </row>
    <row r="1022" spans="1:29" s="7" customFormat="1" outlineLevel="1" x14ac:dyDescent="0.25">
      <c r="A1022" s="50" t="s">
        <v>5</v>
      </c>
      <c r="B1022" s="50" t="s">
        <v>4</v>
      </c>
      <c r="C1022" s="52" t="s">
        <v>2072</v>
      </c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  <c r="R1022" s="52"/>
      <c r="S1022" s="52"/>
      <c r="T1022" s="58"/>
      <c r="U1022" s="53" t="s">
        <v>2354</v>
      </c>
      <c r="V1022" s="54">
        <v>1</v>
      </c>
      <c r="W1022" s="55" t="s">
        <v>1019</v>
      </c>
      <c r="X1022" s="54"/>
      <c r="Y1022" s="67"/>
      <c r="Z1022" s="100" t="s">
        <v>2074</v>
      </c>
      <c r="AA1022" s="56"/>
      <c r="AB1022" s="56"/>
      <c r="AC1022" s="54"/>
    </row>
    <row r="1023" spans="1:29" s="7" customFormat="1" outlineLevel="2" x14ac:dyDescent="0.25">
      <c r="A1023" s="1" t="s">
        <v>5</v>
      </c>
      <c r="B1023" s="1" t="s">
        <v>5</v>
      </c>
      <c r="C1023" s="2" t="s">
        <v>49</v>
      </c>
      <c r="D1023" s="42" t="s">
        <v>2084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57"/>
      <c r="U1023" s="63"/>
      <c r="V1023" s="43"/>
      <c r="W1023" s="49"/>
      <c r="X1023" s="43"/>
      <c r="Y1023" s="64"/>
      <c r="Z1023" s="99"/>
      <c r="AA1023" s="44"/>
      <c r="AB1023" s="44"/>
      <c r="AC1023" s="43"/>
    </row>
    <row r="1024" spans="1:29" s="7" customFormat="1" outlineLevel="1" x14ac:dyDescent="0.25">
      <c r="A1024" s="50" t="s">
        <v>5</v>
      </c>
      <c r="B1024" s="50" t="s">
        <v>4</v>
      </c>
      <c r="C1024" s="52" t="s">
        <v>2073</v>
      </c>
      <c r="D1024" s="52"/>
      <c r="E1024" s="52"/>
      <c r="F1024" s="52"/>
      <c r="G1024" s="52"/>
      <c r="H1024" s="52"/>
      <c r="I1024" s="52"/>
      <c r="J1024" s="52"/>
      <c r="K1024" s="52"/>
      <c r="L1024" s="52"/>
      <c r="M1024" s="52"/>
      <c r="N1024" s="52"/>
      <c r="O1024" s="52"/>
      <c r="P1024" s="52"/>
      <c r="Q1024" s="52"/>
      <c r="R1024" s="52"/>
      <c r="S1024" s="52"/>
      <c r="T1024" s="58"/>
      <c r="U1024" s="53" t="s">
        <v>2355</v>
      </c>
      <c r="V1024" s="54">
        <v>1</v>
      </c>
      <c r="W1024" s="55" t="s">
        <v>1019</v>
      </c>
      <c r="X1024" s="54"/>
      <c r="Y1024" s="67"/>
      <c r="Z1024" s="100" t="s">
        <v>2007</v>
      </c>
      <c r="AA1024" s="56"/>
      <c r="AB1024" s="56"/>
      <c r="AC1024" s="54"/>
    </row>
    <row r="1025" spans="1:29" s="7" customFormat="1" outlineLevel="2" x14ac:dyDescent="0.25">
      <c r="A1025" s="1" t="s">
        <v>5</v>
      </c>
      <c r="B1025" s="1" t="s">
        <v>5</v>
      </c>
      <c r="C1025" s="2" t="s">
        <v>49</v>
      </c>
      <c r="D1025" s="42" t="s">
        <v>2084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57"/>
      <c r="U1025" s="63"/>
      <c r="V1025" s="43"/>
      <c r="W1025" s="49"/>
      <c r="X1025" s="43"/>
      <c r="Y1025" s="64"/>
      <c r="Z1025" s="99"/>
      <c r="AA1025" s="44"/>
      <c r="AB1025" s="44"/>
      <c r="AC1025" s="43"/>
    </row>
    <row r="1026" spans="1:29" s="7" customFormat="1" outlineLevel="1" x14ac:dyDescent="0.25">
      <c r="A1026" s="50" t="s">
        <v>5</v>
      </c>
      <c r="B1026" s="50" t="s">
        <v>4</v>
      </c>
      <c r="C1026" s="52" t="s">
        <v>1045</v>
      </c>
      <c r="D1026" s="52"/>
      <c r="E1026" s="52"/>
      <c r="F1026" s="52"/>
      <c r="G1026" s="52"/>
      <c r="H1026" s="52"/>
      <c r="I1026" s="52"/>
      <c r="J1026" s="52"/>
      <c r="K1026" s="52"/>
      <c r="L1026" s="52"/>
      <c r="M1026" s="52"/>
      <c r="N1026" s="52"/>
      <c r="O1026" s="52"/>
      <c r="P1026" s="52"/>
      <c r="Q1026" s="52"/>
      <c r="R1026" s="52"/>
      <c r="S1026" s="52"/>
      <c r="T1026" s="58"/>
      <c r="U1026" s="53" t="s">
        <v>1043</v>
      </c>
      <c r="V1026" s="54">
        <v>1</v>
      </c>
      <c r="W1026" s="55" t="s">
        <v>1019</v>
      </c>
      <c r="X1026" s="54"/>
      <c r="Y1026" s="67"/>
      <c r="Z1026" s="100" t="s">
        <v>2004</v>
      </c>
      <c r="AA1026" s="56"/>
      <c r="AB1026" s="56"/>
      <c r="AC1026" s="54"/>
    </row>
    <row r="1027" spans="1:29" s="7" customFormat="1" outlineLevel="1" x14ac:dyDescent="0.25">
      <c r="A1027" s="50" t="s">
        <v>5</v>
      </c>
      <c r="B1027" s="50" t="s">
        <v>4</v>
      </c>
      <c r="C1027" s="52" t="s">
        <v>1044</v>
      </c>
      <c r="D1027" s="52"/>
      <c r="E1027" s="52"/>
      <c r="F1027" s="52"/>
      <c r="G1027" s="52"/>
      <c r="H1027" s="52"/>
      <c r="I1027" s="52"/>
      <c r="J1027" s="52"/>
      <c r="K1027" s="52"/>
      <c r="L1027" s="52"/>
      <c r="M1027" s="52"/>
      <c r="N1027" s="52"/>
      <c r="O1027" s="52"/>
      <c r="P1027" s="52"/>
      <c r="Q1027" s="52"/>
      <c r="R1027" s="52"/>
      <c r="S1027" s="52"/>
      <c r="T1027" s="58"/>
      <c r="U1027" s="53" t="s">
        <v>1046</v>
      </c>
      <c r="V1027" s="54">
        <v>1</v>
      </c>
      <c r="W1027" s="55" t="s">
        <v>1019</v>
      </c>
      <c r="X1027" s="54"/>
      <c r="Y1027" s="67"/>
      <c r="Z1027" s="100" t="s">
        <v>2005</v>
      </c>
      <c r="AA1027" s="56"/>
      <c r="AB1027" s="56"/>
      <c r="AC1027" s="54"/>
    </row>
    <row r="1028" spans="1:29" s="7" customFormat="1" outlineLevel="1" x14ac:dyDescent="0.25">
      <c r="A1028" s="50" t="s">
        <v>5</v>
      </c>
      <c r="B1028" s="50" t="s">
        <v>4</v>
      </c>
      <c r="C1028" s="52" t="s">
        <v>2087</v>
      </c>
      <c r="D1028" s="52"/>
      <c r="E1028" s="52"/>
      <c r="F1028" s="52"/>
      <c r="G1028" s="52"/>
      <c r="H1028" s="52"/>
      <c r="I1028" s="52"/>
      <c r="J1028" s="52"/>
      <c r="K1028" s="52"/>
      <c r="L1028" s="52"/>
      <c r="M1028" s="52"/>
      <c r="N1028" s="52"/>
      <c r="O1028" s="52"/>
      <c r="P1028" s="52"/>
      <c r="Q1028" s="52"/>
      <c r="R1028" s="52"/>
      <c r="S1028" s="52"/>
      <c r="T1028" s="58"/>
      <c r="U1028" s="53" t="s">
        <v>2356</v>
      </c>
      <c r="V1028" s="54">
        <v>1</v>
      </c>
      <c r="W1028" s="55" t="s">
        <v>1019</v>
      </c>
      <c r="X1028" s="54"/>
      <c r="Y1028" s="67"/>
      <c r="Z1028" s="100"/>
      <c r="AA1028" s="56"/>
      <c r="AB1028" s="56"/>
      <c r="AC1028" s="54"/>
    </row>
    <row r="1029" spans="1:29" s="7" customFormat="1" outlineLevel="1" x14ac:dyDescent="0.25">
      <c r="A1029" s="1" t="s">
        <v>5</v>
      </c>
      <c r="B1029" s="1" t="s">
        <v>4</v>
      </c>
      <c r="C1029" s="13" t="s">
        <v>334</v>
      </c>
      <c r="D1029" s="13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U1029" s="17" t="s">
        <v>2357</v>
      </c>
      <c r="V1029" s="18">
        <v>1</v>
      </c>
      <c r="W1029" s="47" t="s">
        <v>1019</v>
      </c>
      <c r="X1029" s="18"/>
      <c r="Y1029" s="32"/>
      <c r="Z1029" s="98" t="s">
        <v>2075</v>
      </c>
      <c r="AA1029" s="19"/>
      <c r="AB1029" s="19"/>
      <c r="AC1029" s="18"/>
    </row>
    <row r="1030" spans="1:29" s="7" customFormat="1" outlineLevel="1" x14ac:dyDescent="0.25">
      <c r="A1030" s="1" t="s">
        <v>5</v>
      </c>
      <c r="B1030" s="1" t="s">
        <v>4</v>
      </c>
      <c r="C1030" s="13" t="s">
        <v>335</v>
      </c>
      <c r="D1030" s="13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U1030" s="17" t="s">
        <v>2358</v>
      </c>
      <c r="V1030" s="18">
        <v>1</v>
      </c>
      <c r="W1030" s="47" t="s">
        <v>1019</v>
      </c>
      <c r="X1030" s="18"/>
      <c r="Y1030" s="32"/>
      <c r="Z1030" s="98" t="s">
        <v>2076</v>
      </c>
      <c r="AA1030" s="19"/>
      <c r="AB1030" s="19"/>
      <c r="AC1030" s="18"/>
    </row>
    <row r="1031" spans="1:29" s="7" customFormat="1" outlineLevel="1" x14ac:dyDescent="0.25">
      <c r="A1031" s="1" t="s">
        <v>5</v>
      </c>
      <c r="B1031" s="1" t="s">
        <v>4</v>
      </c>
      <c r="C1031" s="13" t="s">
        <v>336</v>
      </c>
      <c r="D1031" s="13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U1031" s="17" t="s">
        <v>341</v>
      </c>
      <c r="V1031" s="18">
        <v>1</v>
      </c>
      <c r="W1031" s="47" t="s">
        <v>1019</v>
      </c>
      <c r="X1031" s="18"/>
      <c r="Y1031" s="32"/>
      <c r="Z1031" s="98" t="s">
        <v>2070</v>
      </c>
      <c r="AA1031" s="19"/>
      <c r="AB1031" s="19"/>
      <c r="AC1031" s="18"/>
    </row>
    <row r="1032" spans="1:29" s="7" customFormat="1" outlineLevel="1" x14ac:dyDescent="0.25">
      <c r="A1032" s="86" t="s">
        <v>5</v>
      </c>
      <c r="B1032" s="86" t="s">
        <v>4</v>
      </c>
      <c r="C1032" s="87" t="s">
        <v>2176</v>
      </c>
      <c r="D1032" s="88"/>
      <c r="E1032" s="88"/>
      <c r="F1032" s="88"/>
      <c r="G1032" s="88"/>
      <c r="H1032" s="88"/>
      <c r="I1032" s="88"/>
      <c r="J1032" s="88"/>
      <c r="K1032" s="88"/>
      <c r="L1032" s="88"/>
      <c r="M1032" s="88"/>
      <c r="N1032" s="88"/>
      <c r="O1032" s="88"/>
      <c r="P1032" s="88"/>
      <c r="Q1032" s="88"/>
      <c r="R1032" s="88"/>
      <c r="S1032" s="88"/>
      <c r="T1032" s="93"/>
      <c r="U1032" s="53" t="s">
        <v>2359</v>
      </c>
      <c r="V1032" s="89">
        <v>1</v>
      </c>
      <c r="W1032" s="90" t="s">
        <v>1019</v>
      </c>
      <c r="X1032" s="89" t="s">
        <v>1947</v>
      </c>
      <c r="Y1032" s="94"/>
      <c r="Z1032" s="101"/>
      <c r="AA1032" s="91"/>
      <c r="AB1032" s="91"/>
      <c r="AC1032" s="89"/>
    </row>
    <row r="1033" spans="1:29" s="7" customFormat="1" outlineLevel="1" x14ac:dyDescent="0.25">
      <c r="A1033" s="86" t="s">
        <v>5</v>
      </c>
      <c r="B1033" s="86" t="s">
        <v>49</v>
      </c>
      <c r="C1033" s="87" t="s">
        <v>2177</v>
      </c>
      <c r="D1033" s="88"/>
      <c r="E1033" s="88"/>
      <c r="F1033" s="88"/>
      <c r="G1033" s="88"/>
      <c r="H1033" s="88"/>
      <c r="I1033" s="88"/>
      <c r="J1033" s="88"/>
      <c r="K1033" s="88"/>
      <c r="L1033" s="88"/>
      <c r="M1033" s="88"/>
      <c r="N1033" s="88"/>
      <c r="O1033" s="88"/>
      <c r="P1033" s="88"/>
      <c r="Q1033" s="88"/>
      <c r="R1033" s="88"/>
      <c r="S1033" s="88"/>
      <c r="T1033" s="93"/>
      <c r="U1033" s="53" t="s">
        <v>2360</v>
      </c>
      <c r="V1033" s="89">
        <v>1</v>
      </c>
      <c r="W1033" s="90" t="s">
        <v>1019</v>
      </c>
      <c r="X1033" s="89" t="s">
        <v>1947</v>
      </c>
      <c r="Y1033" s="94"/>
      <c r="Z1033" s="101"/>
      <c r="AA1033" s="91"/>
      <c r="AB1033" s="91"/>
      <c r="AC1033" s="89"/>
    </row>
    <row r="1034" spans="1:29" s="7" customFormat="1" x14ac:dyDescent="0.25">
      <c r="A1034" s="1" t="s">
        <v>4</v>
      </c>
      <c r="B1034" s="5" t="s">
        <v>2178</v>
      </c>
      <c r="C1034" s="13"/>
      <c r="D1034" s="13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53" t="s">
        <v>2361</v>
      </c>
      <c r="V1034" s="18">
        <v>1</v>
      </c>
      <c r="W1034" s="47" t="s">
        <v>1019</v>
      </c>
      <c r="X1034" s="18"/>
      <c r="Y1034" s="18"/>
      <c r="Z1034" s="98" t="s">
        <v>2047</v>
      </c>
      <c r="AA1034" s="19"/>
      <c r="AB1034" s="19"/>
      <c r="AC1034" s="20" t="s">
        <v>1037</v>
      </c>
    </row>
    <row r="1035" spans="1:29" s="7" customFormat="1" outlineLevel="1" x14ac:dyDescent="0.25">
      <c r="A1035" s="1" t="s">
        <v>5</v>
      </c>
      <c r="B1035" s="1" t="s">
        <v>4</v>
      </c>
      <c r="C1035" s="5" t="s">
        <v>2179</v>
      </c>
      <c r="D1035" s="13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53" t="s">
        <v>2362</v>
      </c>
      <c r="V1035" s="18">
        <v>1</v>
      </c>
      <c r="W1035" s="47" t="s">
        <v>1019</v>
      </c>
      <c r="X1035" s="18"/>
      <c r="Y1035" s="18"/>
      <c r="Z1035" s="98" t="s">
        <v>2048</v>
      </c>
      <c r="AA1035" s="19"/>
      <c r="AB1035" s="19"/>
      <c r="AC1035" s="18" t="s">
        <v>2363</v>
      </c>
    </row>
    <row r="1036" spans="1:29" s="7" customFormat="1" outlineLevel="2" x14ac:dyDescent="0.25">
      <c r="A1036" s="50" t="s">
        <v>5</v>
      </c>
      <c r="B1036" s="50" t="s">
        <v>5</v>
      </c>
      <c r="C1036" s="50" t="s">
        <v>4</v>
      </c>
      <c r="D1036" s="51" t="s">
        <v>1051</v>
      </c>
      <c r="E1036" s="52"/>
      <c r="F1036" s="52"/>
      <c r="G1036" s="52"/>
      <c r="H1036" s="52"/>
      <c r="I1036" s="52"/>
      <c r="J1036" s="52"/>
      <c r="K1036" s="52"/>
      <c r="L1036" s="52"/>
      <c r="M1036" s="52"/>
      <c r="N1036" s="52"/>
      <c r="O1036" s="52"/>
      <c r="P1036" s="52"/>
      <c r="Q1036" s="52"/>
      <c r="R1036" s="52"/>
      <c r="S1036" s="58"/>
      <c r="T1036" s="58"/>
      <c r="U1036" s="53" t="s">
        <v>2364</v>
      </c>
      <c r="V1036" s="54">
        <v>1</v>
      </c>
      <c r="W1036" s="55" t="s">
        <v>1019</v>
      </c>
      <c r="X1036" s="54"/>
      <c r="Y1036" s="54"/>
      <c r="Z1036" s="100"/>
      <c r="AA1036" s="56"/>
      <c r="AB1036" s="56"/>
      <c r="AC1036" s="54"/>
    </row>
    <row r="1037" spans="1:29" s="7" customFormat="1" outlineLevel="3" x14ac:dyDescent="0.25">
      <c r="A1037" s="50" t="s">
        <v>5</v>
      </c>
      <c r="B1037" s="50" t="s">
        <v>5</v>
      </c>
      <c r="C1037" s="50" t="s">
        <v>5</v>
      </c>
      <c r="D1037" s="50" t="s">
        <v>4</v>
      </c>
      <c r="E1037" s="52" t="s">
        <v>1066</v>
      </c>
      <c r="F1037" s="52"/>
      <c r="G1037" s="52"/>
      <c r="H1037" s="52"/>
      <c r="I1037" s="52"/>
      <c r="J1037" s="52"/>
      <c r="K1037" s="52"/>
      <c r="L1037" s="52"/>
      <c r="M1037" s="52"/>
      <c r="N1037" s="52"/>
      <c r="O1037" s="52"/>
      <c r="P1037" s="52"/>
      <c r="Q1037" s="52"/>
      <c r="R1037" s="52"/>
      <c r="S1037" s="52"/>
      <c r="T1037" s="58"/>
      <c r="U1037" s="53" t="s">
        <v>61</v>
      </c>
      <c r="V1037" s="54">
        <v>1</v>
      </c>
      <c r="W1037" s="55" t="s">
        <v>1019</v>
      </c>
      <c r="X1037" s="54"/>
      <c r="Y1037" s="60"/>
      <c r="Z1037" s="100"/>
      <c r="AA1037" s="56"/>
      <c r="AB1037" s="56"/>
      <c r="AC1037" s="54"/>
    </row>
    <row r="1038" spans="1:29" s="7" customFormat="1" outlineLevel="3" x14ac:dyDescent="0.25">
      <c r="A1038" s="50" t="s">
        <v>5</v>
      </c>
      <c r="B1038" s="50" t="s">
        <v>5</v>
      </c>
      <c r="C1038" s="50" t="s">
        <v>5</v>
      </c>
      <c r="D1038" s="50" t="s">
        <v>4</v>
      </c>
      <c r="E1038" s="52" t="s">
        <v>1067</v>
      </c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  <c r="R1038" s="52"/>
      <c r="S1038" s="52"/>
      <c r="T1038" s="58"/>
      <c r="U1038" s="53" t="s">
        <v>1068</v>
      </c>
      <c r="V1038" s="54">
        <v>2</v>
      </c>
      <c r="W1038" s="55" t="s">
        <v>1019</v>
      </c>
      <c r="X1038" s="54"/>
      <c r="Y1038" s="60"/>
      <c r="Z1038" s="100"/>
      <c r="AA1038" s="56"/>
      <c r="AB1038" s="56"/>
      <c r="AC1038" s="54"/>
    </row>
    <row r="1039" spans="1:29" s="7" customFormat="1" outlineLevel="3" x14ac:dyDescent="0.25">
      <c r="A1039" s="50" t="s">
        <v>5</v>
      </c>
      <c r="B1039" s="50" t="s">
        <v>5</v>
      </c>
      <c r="C1039" s="50" t="s">
        <v>5</v>
      </c>
      <c r="D1039" s="50" t="s">
        <v>4</v>
      </c>
      <c r="E1039" s="52" t="s">
        <v>1901</v>
      </c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  <c r="R1039" s="52"/>
      <c r="S1039" s="52"/>
      <c r="T1039" s="58"/>
      <c r="U1039" s="53"/>
      <c r="V1039" s="54">
        <v>0.11</v>
      </c>
      <c r="W1039" s="55" t="s">
        <v>1018</v>
      </c>
      <c r="X1039" s="54"/>
      <c r="Y1039" s="60"/>
      <c r="Z1039" s="100"/>
      <c r="AA1039" s="56"/>
      <c r="AB1039" s="56"/>
      <c r="AC1039" s="54"/>
    </row>
    <row r="1040" spans="1:29" s="7" customFormat="1" outlineLevel="3" x14ac:dyDescent="0.25">
      <c r="A1040" s="50" t="s">
        <v>5</v>
      </c>
      <c r="B1040" s="50" t="s">
        <v>5</v>
      </c>
      <c r="C1040" s="50" t="s">
        <v>5</v>
      </c>
      <c r="D1040" s="50" t="s">
        <v>49</v>
      </c>
      <c r="E1040" s="52" t="s">
        <v>1065</v>
      </c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  <c r="R1040" s="52"/>
      <c r="S1040" s="52"/>
      <c r="T1040" s="58"/>
      <c r="U1040" s="53"/>
      <c r="V1040" s="54">
        <v>0.06</v>
      </c>
      <c r="W1040" s="55" t="s">
        <v>1018</v>
      </c>
      <c r="X1040" s="54"/>
      <c r="Y1040" s="60"/>
      <c r="Z1040" s="100"/>
      <c r="AA1040" s="56"/>
      <c r="AB1040" s="56"/>
      <c r="AC1040" s="54"/>
    </row>
    <row r="1041" spans="1:29" s="7" customFormat="1" outlineLevel="2" x14ac:dyDescent="0.25">
      <c r="A1041" s="50" t="s">
        <v>5</v>
      </c>
      <c r="B1041" s="50" t="s">
        <v>5</v>
      </c>
      <c r="C1041" s="50" t="s">
        <v>4</v>
      </c>
      <c r="D1041" s="52" t="s">
        <v>2180</v>
      </c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  <c r="R1041" s="52"/>
      <c r="S1041" s="52"/>
      <c r="T1041" s="58"/>
      <c r="U1041" s="53" t="s">
        <v>2365</v>
      </c>
      <c r="V1041" s="54">
        <v>1</v>
      </c>
      <c r="W1041" s="55" t="s">
        <v>1019</v>
      </c>
      <c r="X1041" s="54"/>
      <c r="Y1041" s="60"/>
      <c r="Z1041" s="100"/>
      <c r="AA1041" s="56"/>
      <c r="AB1041" s="56"/>
      <c r="AC1041" s="54"/>
    </row>
    <row r="1042" spans="1:29" s="7" customFormat="1" outlineLevel="2" x14ac:dyDescent="0.25">
      <c r="A1042" s="1" t="s">
        <v>5</v>
      </c>
      <c r="B1042" s="1" t="s">
        <v>5</v>
      </c>
      <c r="C1042" s="1" t="s">
        <v>4</v>
      </c>
      <c r="D1042" s="13" t="s">
        <v>1110</v>
      </c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7" t="s">
        <v>56</v>
      </c>
      <c r="V1042" s="18">
        <v>2</v>
      </c>
      <c r="W1042" s="47" t="s">
        <v>1019</v>
      </c>
      <c r="X1042" s="18" t="s">
        <v>57</v>
      </c>
      <c r="Y1042" s="21" t="s">
        <v>58</v>
      </c>
      <c r="Z1042" s="98"/>
      <c r="AA1042" s="19">
        <v>1882</v>
      </c>
      <c r="AB1042" s="19"/>
      <c r="AC1042" s="18"/>
    </row>
    <row r="1043" spans="1:29" s="7" customFormat="1" outlineLevel="2" x14ac:dyDescent="0.25">
      <c r="A1043" s="1" t="s">
        <v>5</v>
      </c>
      <c r="B1043" s="1" t="s">
        <v>5</v>
      </c>
      <c r="C1043" s="1" t="s">
        <v>4</v>
      </c>
      <c r="D1043" s="5" t="s">
        <v>1049</v>
      </c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U1043" s="17" t="s">
        <v>2366</v>
      </c>
      <c r="V1043" s="18">
        <v>1</v>
      </c>
      <c r="W1043" s="47" t="s">
        <v>1019</v>
      </c>
      <c r="X1043" s="18"/>
      <c r="Y1043" s="18"/>
      <c r="Z1043" s="98"/>
      <c r="AA1043" s="19"/>
      <c r="AB1043" s="19"/>
      <c r="AC1043" s="18"/>
    </row>
    <row r="1044" spans="1:29" s="7" customFormat="1" outlineLevel="3" x14ac:dyDescent="0.25">
      <c r="A1044" s="50" t="s">
        <v>5</v>
      </c>
      <c r="B1044" s="50" t="s">
        <v>5</v>
      </c>
      <c r="C1044" s="50" t="s">
        <v>5</v>
      </c>
      <c r="D1044" s="50" t="s">
        <v>4</v>
      </c>
      <c r="E1044" s="51" t="s">
        <v>1848</v>
      </c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  <c r="R1044" s="52"/>
      <c r="S1044" s="52"/>
      <c r="T1044" s="58"/>
      <c r="U1044" s="53" t="s">
        <v>2367</v>
      </c>
      <c r="V1044" s="54">
        <v>1</v>
      </c>
      <c r="W1044" s="55" t="s">
        <v>1019</v>
      </c>
      <c r="X1044" s="54"/>
      <c r="Y1044" s="54"/>
      <c r="Z1044" s="100"/>
      <c r="AA1044" s="56"/>
      <c r="AB1044" s="56"/>
      <c r="AC1044" s="54"/>
    </row>
    <row r="1045" spans="1:29" s="7" customFormat="1" outlineLevel="4" x14ac:dyDescent="0.25">
      <c r="A1045" s="50" t="s">
        <v>5</v>
      </c>
      <c r="B1045" s="50" t="s">
        <v>5</v>
      </c>
      <c r="C1045" s="50" t="s">
        <v>5</v>
      </c>
      <c r="D1045" s="50" t="s">
        <v>5</v>
      </c>
      <c r="E1045" s="50" t="s">
        <v>4</v>
      </c>
      <c r="F1045" s="52" t="s">
        <v>1890</v>
      </c>
      <c r="G1045" s="58"/>
      <c r="H1045" s="58"/>
      <c r="I1045" s="58"/>
      <c r="J1045" s="58"/>
      <c r="K1045" s="58"/>
      <c r="L1045" s="58"/>
      <c r="M1045" s="58"/>
      <c r="N1045" s="58"/>
      <c r="O1045" s="58"/>
      <c r="P1045" s="58"/>
      <c r="Q1045" s="58"/>
      <c r="R1045" s="58"/>
      <c r="S1045" s="52"/>
      <c r="T1045" s="52"/>
      <c r="U1045" s="53"/>
      <c r="V1045" s="54">
        <v>1</v>
      </c>
      <c r="W1045" s="55" t="s">
        <v>1019</v>
      </c>
      <c r="X1045" s="54"/>
      <c r="Y1045" s="54"/>
      <c r="Z1045" s="100"/>
      <c r="AA1045" s="56"/>
      <c r="AB1045" s="56"/>
      <c r="AC1045" s="54"/>
    </row>
    <row r="1046" spans="1:29" s="7" customFormat="1" outlineLevel="4" x14ac:dyDescent="0.25">
      <c r="A1046" s="50" t="s">
        <v>5</v>
      </c>
      <c r="B1046" s="50" t="s">
        <v>5</v>
      </c>
      <c r="C1046" s="50" t="s">
        <v>5</v>
      </c>
      <c r="D1046" s="50" t="s">
        <v>5</v>
      </c>
      <c r="E1046" s="50" t="s">
        <v>4</v>
      </c>
      <c r="F1046" s="52" t="s">
        <v>226</v>
      </c>
      <c r="G1046" s="58"/>
      <c r="H1046" s="58"/>
      <c r="I1046" s="58"/>
      <c r="J1046" s="58"/>
      <c r="K1046" s="58"/>
      <c r="L1046" s="58"/>
      <c r="M1046" s="58"/>
      <c r="N1046" s="58"/>
      <c r="O1046" s="58"/>
      <c r="P1046" s="58"/>
      <c r="Q1046" s="58"/>
      <c r="R1046" s="58"/>
      <c r="S1046" s="52"/>
      <c r="T1046" s="52"/>
      <c r="U1046" s="53"/>
      <c r="V1046" s="54">
        <v>4</v>
      </c>
      <c r="W1046" s="55" t="s">
        <v>1019</v>
      </c>
      <c r="X1046" s="54"/>
      <c r="Y1046" s="54"/>
      <c r="Z1046" s="100"/>
      <c r="AA1046" s="56"/>
      <c r="AB1046" s="56"/>
      <c r="AC1046" s="54"/>
    </row>
    <row r="1047" spans="1:29" s="7" customFormat="1" outlineLevel="4" x14ac:dyDescent="0.25">
      <c r="A1047" s="50" t="s">
        <v>5</v>
      </c>
      <c r="B1047" s="50" t="s">
        <v>5</v>
      </c>
      <c r="C1047" s="50" t="s">
        <v>5</v>
      </c>
      <c r="D1047" s="50" t="s">
        <v>5</v>
      </c>
      <c r="E1047" s="50" t="s">
        <v>4</v>
      </c>
      <c r="F1047" s="52" t="s">
        <v>62</v>
      </c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  <c r="R1047" s="52"/>
      <c r="S1047" s="52"/>
      <c r="T1047" s="52"/>
      <c r="U1047" s="53" t="s">
        <v>63</v>
      </c>
      <c r="V1047" s="54">
        <v>1</v>
      </c>
      <c r="W1047" s="55" t="s">
        <v>1019</v>
      </c>
      <c r="X1047" s="54"/>
      <c r="Y1047" s="54" t="s">
        <v>63</v>
      </c>
      <c r="Z1047" s="100"/>
      <c r="AA1047" s="56">
        <v>886.67</v>
      </c>
      <c r="AB1047" s="56"/>
      <c r="AC1047" s="54"/>
    </row>
    <row r="1048" spans="1:29" s="7" customFormat="1" outlineLevel="4" x14ac:dyDescent="0.25">
      <c r="A1048" s="50" t="s">
        <v>5</v>
      </c>
      <c r="B1048" s="50" t="s">
        <v>5</v>
      </c>
      <c r="C1048" s="50" t="s">
        <v>5</v>
      </c>
      <c r="D1048" s="50" t="s">
        <v>5</v>
      </c>
      <c r="E1048" s="50" t="s">
        <v>4</v>
      </c>
      <c r="F1048" s="52" t="s">
        <v>59</v>
      </c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  <c r="R1048" s="52"/>
      <c r="S1048" s="52"/>
      <c r="T1048" s="52"/>
      <c r="U1048" s="53" t="s">
        <v>60</v>
      </c>
      <c r="V1048" s="54">
        <v>1</v>
      </c>
      <c r="W1048" s="55" t="s">
        <v>1019</v>
      </c>
      <c r="X1048" s="54"/>
      <c r="Y1048" s="54"/>
      <c r="Z1048" s="100"/>
      <c r="AA1048" s="56">
        <v>68.8</v>
      </c>
      <c r="AB1048" s="56"/>
      <c r="AC1048" s="54"/>
    </row>
    <row r="1049" spans="1:29" s="7" customFormat="1" outlineLevel="4" x14ac:dyDescent="0.25">
      <c r="A1049" s="50" t="s">
        <v>5</v>
      </c>
      <c r="B1049" s="50" t="s">
        <v>5</v>
      </c>
      <c r="C1049" s="50" t="s">
        <v>5</v>
      </c>
      <c r="D1049" s="50" t="s">
        <v>5</v>
      </c>
      <c r="E1049" s="50" t="s">
        <v>4</v>
      </c>
      <c r="F1049" s="52" t="s">
        <v>1074</v>
      </c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  <c r="R1049" s="52"/>
      <c r="S1049" s="52"/>
      <c r="T1049" s="58"/>
      <c r="U1049" s="53"/>
      <c r="V1049" s="54">
        <v>0.32</v>
      </c>
      <c r="W1049" s="55" t="s">
        <v>1018</v>
      </c>
      <c r="X1049" s="54"/>
      <c r="Y1049" s="60"/>
      <c r="Z1049" s="100"/>
      <c r="AA1049" s="56"/>
      <c r="AB1049" s="56"/>
      <c r="AC1049" s="54"/>
    </row>
    <row r="1050" spans="1:29" s="7" customFormat="1" outlineLevel="4" x14ac:dyDescent="0.25">
      <c r="A1050" s="50" t="s">
        <v>5</v>
      </c>
      <c r="B1050" s="50" t="s">
        <v>5</v>
      </c>
      <c r="C1050" s="50" t="s">
        <v>5</v>
      </c>
      <c r="D1050" s="50" t="s">
        <v>5</v>
      </c>
      <c r="E1050" s="50" t="s">
        <v>49</v>
      </c>
      <c r="F1050" s="52" t="s">
        <v>1891</v>
      </c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  <c r="R1050" s="52"/>
      <c r="S1050" s="52"/>
      <c r="T1050" s="58"/>
      <c r="U1050" s="53"/>
      <c r="V1050" s="54">
        <v>0.06</v>
      </c>
      <c r="W1050" s="55" t="s">
        <v>1018</v>
      </c>
      <c r="X1050" s="54"/>
      <c r="Y1050" s="60"/>
      <c r="Z1050" s="100"/>
      <c r="AA1050" s="56"/>
      <c r="AB1050" s="56"/>
      <c r="AC1050" s="54"/>
    </row>
    <row r="1051" spans="1:29" s="7" customFormat="1" outlineLevel="3" x14ac:dyDescent="0.25">
      <c r="A1051" s="1" t="s">
        <v>5</v>
      </c>
      <c r="B1051" s="1" t="s">
        <v>5</v>
      </c>
      <c r="C1051" s="1" t="s">
        <v>5</v>
      </c>
      <c r="D1051" s="1" t="s">
        <v>4</v>
      </c>
      <c r="E1051" s="5" t="s">
        <v>618</v>
      </c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7" t="s">
        <v>2368</v>
      </c>
      <c r="V1051" s="18">
        <v>1</v>
      </c>
      <c r="W1051" s="47" t="s">
        <v>1019</v>
      </c>
      <c r="X1051" s="18"/>
      <c r="Y1051" s="18"/>
      <c r="Z1051" s="98"/>
      <c r="AA1051" s="19"/>
      <c r="AB1051" s="19"/>
      <c r="AC1051" s="18"/>
    </row>
    <row r="1052" spans="1:29" s="7" customFormat="1" outlineLevel="4" x14ac:dyDescent="0.25">
      <c r="A1052" s="50" t="s">
        <v>5</v>
      </c>
      <c r="B1052" s="50" t="s">
        <v>5</v>
      </c>
      <c r="C1052" s="50" t="s">
        <v>5</v>
      </c>
      <c r="D1052" s="50" t="s">
        <v>5</v>
      </c>
      <c r="E1052" s="50" t="s">
        <v>4</v>
      </c>
      <c r="F1052" s="52" t="s">
        <v>970</v>
      </c>
      <c r="G1052" s="58"/>
      <c r="H1052" s="58"/>
      <c r="I1052" s="58"/>
      <c r="J1052" s="58"/>
      <c r="K1052" s="58"/>
      <c r="L1052" s="58"/>
      <c r="M1052" s="58"/>
      <c r="N1052" s="58"/>
      <c r="O1052" s="58"/>
      <c r="P1052" s="58"/>
      <c r="Q1052" s="58"/>
      <c r="R1052" s="58"/>
      <c r="S1052" s="52"/>
      <c r="T1052" s="52"/>
      <c r="U1052" s="53" t="s">
        <v>971</v>
      </c>
      <c r="V1052" s="54">
        <v>2E-3</v>
      </c>
      <c r="W1052" s="55" t="s">
        <v>1124</v>
      </c>
      <c r="X1052" s="54"/>
      <c r="Y1052" s="54"/>
      <c r="Z1052" s="100"/>
      <c r="AA1052" s="56"/>
      <c r="AB1052" s="56"/>
      <c r="AC1052" s="54"/>
    </row>
    <row r="1053" spans="1:29" s="7" customFormat="1" outlineLevel="4" x14ac:dyDescent="0.25">
      <c r="A1053" s="50" t="s">
        <v>5</v>
      </c>
      <c r="B1053" s="50" t="s">
        <v>5</v>
      </c>
      <c r="C1053" s="50" t="s">
        <v>5</v>
      </c>
      <c r="D1053" s="50" t="s">
        <v>5</v>
      </c>
      <c r="E1053" s="50" t="s">
        <v>4</v>
      </c>
      <c r="F1053" s="52" t="s">
        <v>1788</v>
      </c>
      <c r="G1053" s="58"/>
      <c r="H1053" s="58"/>
      <c r="I1053" s="58"/>
      <c r="J1053" s="58"/>
      <c r="K1053" s="58"/>
      <c r="L1053" s="58"/>
      <c r="M1053" s="58"/>
      <c r="N1053" s="58"/>
      <c r="O1053" s="58"/>
      <c r="P1053" s="58"/>
      <c r="Q1053" s="58"/>
      <c r="R1053" s="58"/>
      <c r="S1053" s="52"/>
      <c r="T1053" s="52"/>
      <c r="U1053" s="53" t="s">
        <v>960</v>
      </c>
      <c r="V1053" s="54">
        <v>5</v>
      </c>
      <c r="W1053" s="55" t="s">
        <v>1019</v>
      </c>
      <c r="X1053" s="54"/>
      <c r="Y1053" s="54"/>
      <c r="Z1053" s="100"/>
      <c r="AA1053" s="56"/>
      <c r="AB1053" s="56"/>
      <c r="AC1053" s="54"/>
    </row>
    <row r="1054" spans="1:29" s="7" customFormat="1" outlineLevel="4" x14ac:dyDescent="0.25">
      <c r="A1054" s="50" t="s">
        <v>5</v>
      </c>
      <c r="B1054" s="50" t="s">
        <v>5</v>
      </c>
      <c r="C1054" s="50" t="s">
        <v>5</v>
      </c>
      <c r="D1054" s="50" t="s">
        <v>5</v>
      </c>
      <c r="E1054" s="50" t="s">
        <v>4</v>
      </c>
      <c r="F1054" s="52" t="s">
        <v>1789</v>
      </c>
      <c r="G1054" s="58"/>
      <c r="H1054" s="58"/>
      <c r="I1054" s="58"/>
      <c r="J1054" s="58"/>
      <c r="K1054" s="58"/>
      <c r="L1054" s="58"/>
      <c r="M1054" s="58"/>
      <c r="N1054" s="58"/>
      <c r="O1054" s="58"/>
      <c r="P1054" s="58"/>
      <c r="Q1054" s="58"/>
      <c r="R1054" s="58"/>
      <c r="S1054" s="52"/>
      <c r="T1054" s="52"/>
      <c r="U1054" s="53" t="s">
        <v>961</v>
      </c>
      <c r="V1054" s="54">
        <v>1</v>
      </c>
      <c r="W1054" s="55" t="s">
        <v>1019</v>
      </c>
      <c r="X1054" s="54"/>
      <c r="Y1054" s="54"/>
      <c r="Z1054" s="100"/>
      <c r="AA1054" s="56"/>
      <c r="AB1054" s="56"/>
      <c r="AC1054" s="54"/>
    </row>
    <row r="1055" spans="1:29" s="7" customFormat="1" outlineLevel="4" x14ac:dyDescent="0.25">
      <c r="A1055" s="50" t="s">
        <v>5</v>
      </c>
      <c r="B1055" s="50" t="s">
        <v>5</v>
      </c>
      <c r="C1055" s="50" t="s">
        <v>5</v>
      </c>
      <c r="D1055" s="50" t="s">
        <v>5</v>
      </c>
      <c r="E1055" s="50" t="s">
        <v>4</v>
      </c>
      <c r="F1055" s="52" t="s">
        <v>1790</v>
      </c>
      <c r="G1055" s="58"/>
      <c r="H1055" s="52"/>
      <c r="I1055" s="52"/>
      <c r="J1055" s="52"/>
      <c r="K1055" s="52"/>
      <c r="L1055" s="52"/>
      <c r="M1055" s="52"/>
      <c r="N1055" s="52"/>
      <c r="O1055" s="52"/>
      <c r="P1055" s="52"/>
      <c r="Q1055" s="52"/>
      <c r="R1055" s="52"/>
      <c r="S1055" s="52"/>
      <c r="T1055" s="52"/>
      <c r="U1055" s="53" t="s">
        <v>962</v>
      </c>
      <c r="V1055" s="54">
        <v>2</v>
      </c>
      <c r="W1055" s="55" t="s">
        <v>1019</v>
      </c>
      <c r="X1055" s="54"/>
      <c r="Y1055" s="54"/>
      <c r="Z1055" s="100"/>
      <c r="AA1055" s="56"/>
      <c r="AB1055" s="56"/>
      <c r="AC1055" s="54"/>
    </row>
    <row r="1056" spans="1:29" s="7" customFormat="1" outlineLevel="4" x14ac:dyDescent="0.25">
      <c r="A1056" s="50" t="s">
        <v>5</v>
      </c>
      <c r="B1056" s="50" t="s">
        <v>5</v>
      </c>
      <c r="C1056" s="50" t="s">
        <v>5</v>
      </c>
      <c r="D1056" s="50" t="s">
        <v>5</v>
      </c>
      <c r="E1056" s="50" t="s">
        <v>4</v>
      </c>
      <c r="F1056" s="52" t="s">
        <v>1791</v>
      </c>
      <c r="G1056" s="58"/>
      <c r="H1056" s="58"/>
      <c r="I1056" s="58"/>
      <c r="J1056" s="58"/>
      <c r="K1056" s="58"/>
      <c r="L1056" s="58"/>
      <c r="M1056" s="58"/>
      <c r="N1056" s="58"/>
      <c r="O1056" s="58"/>
      <c r="P1056" s="58"/>
      <c r="Q1056" s="58"/>
      <c r="R1056" s="58"/>
      <c r="S1056" s="52"/>
      <c r="T1056" s="52"/>
      <c r="U1056" s="53" t="s">
        <v>963</v>
      </c>
      <c r="V1056" s="54">
        <v>12</v>
      </c>
      <c r="W1056" s="55" t="s">
        <v>1019</v>
      </c>
      <c r="X1056" s="54"/>
      <c r="Y1056" s="54"/>
      <c r="Z1056" s="100"/>
      <c r="AA1056" s="56"/>
      <c r="AB1056" s="56"/>
      <c r="AC1056" s="54"/>
    </row>
    <row r="1057" spans="1:29" s="7" customFormat="1" outlineLevel="4" x14ac:dyDescent="0.25">
      <c r="A1057" s="50" t="s">
        <v>5</v>
      </c>
      <c r="B1057" s="50" t="s">
        <v>5</v>
      </c>
      <c r="C1057" s="50" t="s">
        <v>5</v>
      </c>
      <c r="D1057" s="50" t="s">
        <v>5</v>
      </c>
      <c r="E1057" s="50" t="s">
        <v>4</v>
      </c>
      <c r="F1057" s="52" t="s">
        <v>1792</v>
      </c>
      <c r="G1057" s="58"/>
      <c r="H1057" s="58"/>
      <c r="I1057" s="58"/>
      <c r="J1057" s="58"/>
      <c r="K1057" s="58"/>
      <c r="L1057" s="58"/>
      <c r="M1057" s="58"/>
      <c r="N1057" s="58"/>
      <c r="O1057" s="58"/>
      <c r="P1057" s="58"/>
      <c r="Q1057" s="58"/>
      <c r="R1057" s="58"/>
      <c r="S1057" s="52"/>
      <c r="T1057" s="52"/>
      <c r="U1057" s="53" t="s">
        <v>964</v>
      </c>
      <c r="V1057" s="54">
        <v>12</v>
      </c>
      <c r="W1057" s="55" t="s">
        <v>1019</v>
      </c>
      <c r="X1057" s="54"/>
      <c r="Y1057" s="54"/>
      <c r="Z1057" s="100"/>
      <c r="AA1057" s="56"/>
      <c r="AB1057" s="56"/>
      <c r="AC1057" s="54"/>
    </row>
    <row r="1058" spans="1:29" s="7" customFormat="1" outlineLevel="4" x14ac:dyDescent="0.25">
      <c r="A1058" s="50" t="s">
        <v>5</v>
      </c>
      <c r="B1058" s="50" t="s">
        <v>5</v>
      </c>
      <c r="C1058" s="50" t="s">
        <v>5</v>
      </c>
      <c r="D1058" s="50" t="s">
        <v>5</v>
      </c>
      <c r="E1058" s="50" t="s">
        <v>4</v>
      </c>
      <c r="F1058" s="52" t="s">
        <v>1793</v>
      </c>
      <c r="G1058" s="58"/>
      <c r="H1058" s="58"/>
      <c r="I1058" s="58"/>
      <c r="J1058" s="58"/>
      <c r="K1058" s="58"/>
      <c r="L1058" s="58"/>
      <c r="M1058" s="58"/>
      <c r="N1058" s="58"/>
      <c r="O1058" s="58"/>
      <c r="P1058" s="58"/>
      <c r="Q1058" s="58"/>
      <c r="R1058" s="58"/>
      <c r="S1058" s="52"/>
      <c r="T1058" s="52"/>
      <c r="U1058" s="53" t="s">
        <v>965</v>
      </c>
      <c r="V1058" s="54">
        <v>4</v>
      </c>
      <c r="W1058" s="55" t="s">
        <v>1019</v>
      </c>
      <c r="X1058" s="54"/>
      <c r="Y1058" s="54"/>
      <c r="Z1058" s="100"/>
      <c r="AA1058" s="56"/>
      <c r="AB1058" s="56"/>
      <c r="AC1058" s="54"/>
    </row>
    <row r="1059" spans="1:29" s="7" customFormat="1" outlineLevel="4" x14ac:dyDescent="0.25">
      <c r="A1059" s="50" t="s">
        <v>5</v>
      </c>
      <c r="B1059" s="50" t="s">
        <v>5</v>
      </c>
      <c r="C1059" s="50" t="s">
        <v>5</v>
      </c>
      <c r="D1059" s="50" t="s">
        <v>5</v>
      </c>
      <c r="E1059" s="50" t="s">
        <v>4</v>
      </c>
      <c r="F1059" s="52" t="s">
        <v>969</v>
      </c>
      <c r="G1059" s="58"/>
      <c r="H1059" s="52"/>
      <c r="I1059" s="52"/>
      <c r="J1059" s="52"/>
      <c r="K1059" s="52"/>
      <c r="L1059" s="52"/>
      <c r="M1059" s="52"/>
      <c r="N1059" s="52"/>
      <c r="O1059" s="52"/>
      <c r="P1059" s="52"/>
      <c r="Q1059" s="52"/>
      <c r="R1059" s="52"/>
      <c r="S1059" s="52"/>
      <c r="T1059" s="52"/>
      <c r="U1059" s="53" t="s">
        <v>966</v>
      </c>
      <c r="V1059" s="54">
        <v>4</v>
      </c>
      <c r="W1059" s="55" t="s">
        <v>1019</v>
      </c>
      <c r="X1059" s="54"/>
      <c r="Y1059" s="54"/>
      <c r="Z1059" s="100"/>
      <c r="AA1059" s="56"/>
      <c r="AB1059" s="56"/>
      <c r="AC1059" s="54"/>
    </row>
    <row r="1060" spans="1:29" s="7" customFormat="1" outlineLevel="4" x14ac:dyDescent="0.25">
      <c r="A1060" s="50" t="s">
        <v>5</v>
      </c>
      <c r="B1060" s="50" t="s">
        <v>5</v>
      </c>
      <c r="C1060" s="50" t="s">
        <v>5</v>
      </c>
      <c r="D1060" s="50" t="s">
        <v>5</v>
      </c>
      <c r="E1060" s="50" t="s">
        <v>4</v>
      </c>
      <c r="F1060" s="52" t="s">
        <v>1030</v>
      </c>
      <c r="G1060" s="58"/>
      <c r="H1060" s="58"/>
      <c r="I1060" s="58"/>
      <c r="J1060" s="58"/>
      <c r="K1060" s="58"/>
      <c r="L1060" s="58"/>
      <c r="M1060" s="58"/>
      <c r="N1060" s="58"/>
      <c r="O1060" s="58"/>
      <c r="P1060" s="58"/>
      <c r="Q1060" s="58"/>
      <c r="R1060" s="58"/>
      <c r="S1060" s="52"/>
      <c r="T1060" s="52"/>
      <c r="U1060" s="53" t="s">
        <v>967</v>
      </c>
      <c r="V1060" s="54">
        <v>4</v>
      </c>
      <c r="W1060" s="55" t="s">
        <v>1019</v>
      </c>
      <c r="X1060" s="54"/>
      <c r="Y1060" s="54"/>
      <c r="Z1060" s="100"/>
      <c r="AA1060" s="56"/>
      <c r="AB1060" s="56"/>
      <c r="AC1060" s="54"/>
    </row>
    <row r="1061" spans="1:29" s="7" customFormat="1" outlineLevel="4" x14ac:dyDescent="0.25">
      <c r="A1061" s="50" t="s">
        <v>5</v>
      </c>
      <c r="B1061" s="50" t="s">
        <v>5</v>
      </c>
      <c r="C1061" s="50" t="s">
        <v>5</v>
      </c>
      <c r="D1061" s="50" t="s">
        <v>5</v>
      </c>
      <c r="E1061" s="50" t="s">
        <v>4</v>
      </c>
      <c r="F1061" s="52" t="s">
        <v>1029</v>
      </c>
      <c r="G1061" s="58"/>
      <c r="H1061" s="58"/>
      <c r="I1061" s="58"/>
      <c r="J1061" s="58"/>
      <c r="K1061" s="58"/>
      <c r="L1061" s="58"/>
      <c r="M1061" s="58"/>
      <c r="N1061" s="58"/>
      <c r="O1061" s="58"/>
      <c r="P1061" s="58"/>
      <c r="Q1061" s="58"/>
      <c r="R1061" s="58"/>
      <c r="S1061" s="52"/>
      <c r="T1061" s="52"/>
      <c r="U1061" s="53" t="s">
        <v>968</v>
      </c>
      <c r="V1061" s="54">
        <v>1</v>
      </c>
      <c r="W1061" s="55" t="s">
        <v>1019</v>
      </c>
      <c r="X1061" s="54"/>
      <c r="Y1061" s="54"/>
      <c r="Z1061" s="100"/>
      <c r="AA1061" s="56"/>
      <c r="AB1061" s="56"/>
      <c r="AC1061" s="54"/>
    </row>
    <row r="1062" spans="1:29" s="7" customFormat="1" outlineLevel="4" x14ac:dyDescent="0.25">
      <c r="A1062" s="50" t="s">
        <v>5</v>
      </c>
      <c r="B1062" s="50" t="s">
        <v>5</v>
      </c>
      <c r="C1062" s="50" t="s">
        <v>5</v>
      </c>
      <c r="D1062" s="50" t="s">
        <v>5</v>
      </c>
      <c r="E1062" s="50" t="s">
        <v>4</v>
      </c>
      <c r="F1062" s="52" t="s">
        <v>1028</v>
      </c>
      <c r="G1062" s="58"/>
      <c r="H1062" s="58"/>
      <c r="I1062" s="58"/>
      <c r="J1062" s="58"/>
      <c r="K1062" s="58"/>
      <c r="L1062" s="58"/>
      <c r="M1062" s="58"/>
      <c r="N1062" s="58"/>
      <c r="O1062" s="58"/>
      <c r="P1062" s="58"/>
      <c r="Q1062" s="58"/>
      <c r="R1062" s="58"/>
      <c r="S1062" s="52"/>
      <c r="T1062" s="52"/>
      <c r="U1062" s="53" t="s">
        <v>1027</v>
      </c>
      <c r="V1062" s="54">
        <v>1</v>
      </c>
      <c r="W1062" s="55" t="s">
        <v>1019</v>
      </c>
      <c r="X1062" s="54"/>
      <c r="Y1062" s="54"/>
      <c r="Z1062" s="100"/>
      <c r="AA1062" s="56"/>
      <c r="AB1062" s="56"/>
      <c r="AC1062" s="54"/>
    </row>
    <row r="1063" spans="1:29" s="7" customFormat="1" outlineLevel="4" x14ac:dyDescent="0.25">
      <c r="A1063" s="50" t="s">
        <v>5</v>
      </c>
      <c r="B1063" s="50" t="s">
        <v>5</v>
      </c>
      <c r="C1063" s="50" t="s">
        <v>5</v>
      </c>
      <c r="D1063" s="50" t="s">
        <v>5</v>
      </c>
      <c r="E1063" s="50" t="s">
        <v>4</v>
      </c>
      <c r="F1063" s="52" t="s">
        <v>619</v>
      </c>
      <c r="G1063" s="58"/>
      <c r="H1063" s="52"/>
      <c r="I1063" s="52"/>
      <c r="J1063" s="52"/>
      <c r="K1063" s="52"/>
      <c r="L1063" s="52"/>
      <c r="M1063" s="52"/>
      <c r="N1063" s="52"/>
      <c r="O1063" s="52"/>
      <c r="P1063" s="52"/>
      <c r="Q1063" s="52"/>
      <c r="R1063" s="52"/>
      <c r="S1063" s="52"/>
      <c r="T1063" s="52"/>
      <c r="U1063" s="53" t="s">
        <v>2369</v>
      </c>
      <c r="V1063" s="54">
        <v>1</v>
      </c>
      <c r="W1063" s="55" t="s">
        <v>1019</v>
      </c>
      <c r="X1063" s="54"/>
      <c r="Y1063" s="54"/>
      <c r="Z1063" s="100"/>
      <c r="AA1063" s="56"/>
      <c r="AB1063" s="56"/>
      <c r="AC1063" s="54"/>
    </row>
    <row r="1064" spans="1:29" s="7" customFormat="1" outlineLevel="4" x14ac:dyDescent="0.25">
      <c r="A1064" s="1" t="s">
        <v>5</v>
      </c>
      <c r="B1064" s="1" t="s">
        <v>5</v>
      </c>
      <c r="C1064" s="1" t="s">
        <v>5</v>
      </c>
      <c r="D1064" s="1" t="s">
        <v>5</v>
      </c>
      <c r="E1064" s="1" t="s">
        <v>4</v>
      </c>
      <c r="F1064" s="13" t="s">
        <v>55</v>
      </c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7" t="s">
        <v>2370</v>
      </c>
      <c r="V1064" s="18">
        <v>1</v>
      </c>
      <c r="W1064" s="47" t="s">
        <v>1019</v>
      </c>
      <c r="X1064" s="18"/>
      <c r="Y1064" s="18"/>
      <c r="Z1064" s="98"/>
      <c r="AA1064" s="19"/>
      <c r="AB1064" s="19"/>
      <c r="AC1064" s="18"/>
    </row>
    <row r="1065" spans="1:29" s="7" customFormat="1" outlineLevel="4" x14ac:dyDescent="0.25">
      <c r="A1065" s="1" t="s">
        <v>5</v>
      </c>
      <c r="B1065" s="1" t="s">
        <v>5</v>
      </c>
      <c r="C1065" s="1" t="s">
        <v>5</v>
      </c>
      <c r="D1065" s="1" t="s">
        <v>5</v>
      </c>
      <c r="E1065" s="1" t="s">
        <v>4</v>
      </c>
      <c r="F1065" s="13" t="s">
        <v>638</v>
      </c>
      <c r="S1065" s="13"/>
      <c r="T1065" s="13"/>
      <c r="U1065" s="17" t="s">
        <v>675</v>
      </c>
      <c r="V1065" s="18">
        <v>2</v>
      </c>
      <c r="W1065" s="47" t="s">
        <v>1019</v>
      </c>
      <c r="X1065" s="18"/>
      <c r="Y1065" s="18"/>
      <c r="Z1065" s="98"/>
      <c r="AA1065" s="19"/>
      <c r="AB1065" s="19"/>
      <c r="AC1065" s="18"/>
    </row>
    <row r="1066" spans="1:29" s="7" customFormat="1" outlineLevel="4" x14ac:dyDescent="0.25">
      <c r="A1066" s="1" t="s">
        <v>5</v>
      </c>
      <c r="B1066" s="1" t="s">
        <v>5</v>
      </c>
      <c r="C1066" s="1" t="s">
        <v>5</v>
      </c>
      <c r="D1066" s="1" t="s">
        <v>5</v>
      </c>
      <c r="E1066" s="1" t="s">
        <v>4</v>
      </c>
      <c r="F1066" s="13" t="s">
        <v>638</v>
      </c>
      <c r="S1066" s="13"/>
      <c r="T1066" s="13"/>
      <c r="U1066" s="17" t="s">
        <v>676</v>
      </c>
      <c r="V1066" s="18">
        <v>3</v>
      </c>
      <c r="W1066" s="47" t="s">
        <v>1019</v>
      </c>
      <c r="X1066" s="18"/>
      <c r="Y1066" s="18"/>
      <c r="Z1066" s="98"/>
      <c r="AA1066" s="19"/>
      <c r="AB1066" s="19"/>
      <c r="AC1066" s="18"/>
    </row>
    <row r="1067" spans="1:29" s="7" customFormat="1" outlineLevel="4" x14ac:dyDescent="0.25">
      <c r="A1067" s="1" t="s">
        <v>5</v>
      </c>
      <c r="B1067" s="1" t="s">
        <v>5</v>
      </c>
      <c r="C1067" s="1" t="s">
        <v>5</v>
      </c>
      <c r="D1067" s="1" t="s">
        <v>5</v>
      </c>
      <c r="E1067" s="1" t="s">
        <v>4</v>
      </c>
      <c r="F1067" s="13" t="s">
        <v>639</v>
      </c>
      <c r="S1067" s="13"/>
      <c r="T1067" s="13"/>
      <c r="U1067" s="17" t="s">
        <v>677</v>
      </c>
      <c r="V1067" s="18">
        <v>1</v>
      </c>
      <c r="W1067" s="47" t="s">
        <v>1019</v>
      </c>
      <c r="X1067" s="18"/>
      <c r="Y1067" s="18"/>
      <c r="Z1067" s="98"/>
      <c r="AA1067" s="19"/>
      <c r="AB1067" s="19"/>
      <c r="AC1067" s="18"/>
    </row>
    <row r="1068" spans="1:29" s="7" customFormat="1" outlineLevel="4" x14ac:dyDescent="0.25">
      <c r="A1068" s="1" t="s">
        <v>5</v>
      </c>
      <c r="B1068" s="1" t="s">
        <v>5</v>
      </c>
      <c r="C1068" s="1" t="s">
        <v>5</v>
      </c>
      <c r="D1068" s="1" t="s">
        <v>5</v>
      </c>
      <c r="E1068" s="1" t="s">
        <v>4</v>
      </c>
      <c r="F1068" s="13" t="s">
        <v>640</v>
      </c>
      <c r="S1068" s="13"/>
      <c r="T1068" s="13"/>
      <c r="U1068" s="17" t="s">
        <v>678</v>
      </c>
      <c r="V1068" s="18">
        <v>5</v>
      </c>
      <c r="W1068" s="47" t="s">
        <v>1019</v>
      </c>
      <c r="X1068" s="18"/>
      <c r="Y1068" s="18"/>
      <c r="Z1068" s="98"/>
      <c r="AA1068" s="19"/>
      <c r="AB1068" s="19"/>
      <c r="AC1068" s="18"/>
    </row>
    <row r="1069" spans="1:29" s="7" customFormat="1" outlineLevel="4" x14ac:dyDescent="0.25">
      <c r="A1069" s="1" t="s">
        <v>5</v>
      </c>
      <c r="B1069" s="1" t="s">
        <v>5</v>
      </c>
      <c r="C1069" s="1" t="s">
        <v>5</v>
      </c>
      <c r="D1069" s="1" t="s">
        <v>5</v>
      </c>
      <c r="E1069" s="1" t="s">
        <v>4</v>
      </c>
      <c r="F1069" s="13" t="s">
        <v>641</v>
      </c>
      <c r="S1069" s="13"/>
      <c r="T1069" s="13"/>
      <c r="U1069" s="17" t="s">
        <v>679</v>
      </c>
      <c r="V1069" s="18">
        <v>1</v>
      </c>
      <c r="W1069" s="47" t="s">
        <v>1019</v>
      </c>
      <c r="X1069" s="18"/>
      <c r="Y1069" s="18"/>
      <c r="Z1069" s="98"/>
      <c r="AA1069" s="19"/>
      <c r="AB1069" s="19"/>
      <c r="AC1069" s="18"/>
    </row>
    <row r="1070" spans="1:29" s="7" customFormat="1" outlineLevel="4" x14ac:dyDescent="0.25">
      <c r="A1070" s="1" t="s">
        <v>5</v>
      </c>
      <c r="B1070" s="1" t="s">
        <v>5</v>
      </c>
      <c r="C1070" s="1" t="s">
        <v>5</v>
      </c>
      <c r="D1070" s="1" t="s">
        <v>5</v>
      </c>
      <c r="E1070" s="1" t="s">
        <v>4</v>
      </c>
      <c r="F1070" s="13" t="s">
        <v>642</v>
      </c>
      <c r="S1070" s="13"/>
      <c r="T1070" s="13"/>
      <c r="U1070" s="17" t="s">
        <v>680</v>
      </c>
      <c r="V1070" s="18">
        <v>1</v>
      </c>
      <c r="W1070" s="47" t="s">
        <v>1019</v>
      </c>
      <c r="X1070" s="18"/>
      <c r="Y1070" s="18"/>
      <c r="Z1070" s="98"/>
      <c r="AA1070" s="19"/>
      <c r="AB1070" s="19"/>
      <c r="AC1070" s="18"/>
    </row>
    <row r="1071" spans="1:29" s="7" customFormat="1" outlineLevel="4" x14ac:dyDescent="0.25">
      <c r="A1071" s="1" t="s">
        <v>5</v>
      </c>
      <c r="B1071" s="1" t="s">
        <v>5</v>
      </c>
      <c r="C1071" s="1" t="s">
        <v>5</v>
      </c>
      <c r="D1071" s="1" t="s">
        <v>5</v>
      </c>
      <c r="E1071" s="1" t="s">
        <v>4</v>
      </c>
      <c r="F1071" s="13" t="s">
        <v>643</v>
      </c>
      <c r="S1071" s="13"/>
      <c r="T1071" s="13"/>
      <c r="U1071" s="17" t="s">
        <v>681</v>
      </c>
      <c r="V1071" s="18">
        <v>3</v>
      </c>
      <c r="W1071" s="47" t="s">
        <v>1019</v>
      </c>
      <c r="X1071" s="18"/>
      <c r="Y1071" s="18"/>
      <c r="Z1071" s="98"/>
      <c r="AA1071" s="19"/>
      <c r="AB1071" s="19"/>
      <c r="AC1071" s="18"/>
    </row>
    <row r="1072" spans="1:29" s="7" customFormat="1" outlineLevel="4" x14ac:dyDescent="0.25">
      <c r="A1072" s="1" t="s">
        <v>5</v>
      </c>
      <c r="B1072" s="1" t="s">
        <v>5</v>
      </c>
      <c r="C1072" s="1" t="s">
        <v>5</v>
      </c>
      <c r="D1072" s="1" t="s">
        <v>5</v>
      </c>
      <c r="E1072" s="1" t="s">
        <v>4</v>
      </c>
      <c r="F1072" s="13" t="s">
        <v>644</v>
      </c>
      <c r="S1072" s="13"/>
      <c r="T1072" s="13"/>
      <c r="U1072" s="17" t="s">
        <v>682</v>
      </c>
      <c r="V1072" s="18">
        <v>3</v>
      </c>
      <c r="W1072" s="47" t="s">
        <v>1019</v>
      </c>
      <c r="X1072" s="18"/>
      <c r="Y1072" s="18"/>
      <c r="Z1072" s="98"/>
      <c r="AA1072" s="19"/>
      <c r="AB1072" s="19"/>
      <c r="AC1072" s="18"/>
    </row>
    <row r="1073" spans="1:29" s="7" customFormat="1" outlineLevel="4" x14ac:dyDescent="0.25">
      <c r="A1073" s="1" t="s">
        <v>5</v>
      </c>
      <c r="B1073" s="1" t="s">
        <v>5</v>
      </c>
      <c r="C1073" s="1" t="s">
        <v>5</v>
      </c>
      <c r="D1073" s="1" t="s">
        <v>5</v>
      </c>
      <c r="E1073" s="1" t="s">
        <v>4</v>
      </c>
      <c r="F1073" s="13" t="s">
        <v>645</v>
      </c>
      <c r="S1073" s="13"/>
      <c r="T1073" s="13"/>
      <c r="U1073" s="17" t="s">
        <v>683</v>
      </c>
      <c r="V1073" s="18">
        <v>1</v>
      </c>
      <c r="W1073" s="47" t="s">
        <v>1019</v>
      </c>
      <c r="X1073" s="18"/>
      <c r="Y1073" s="18"/>
      <c r="Z1073" s="98"/>
      <c r="AA1073" s="19"/>
      <c r="AB1073" s="19"/>
      <c r="AC1073" s="18"/>
    </row>
    <row r="1074" spans="1:29" s="7" customFormat="1" outlineLevel="4" x14ac:dyDescent="0.25">
      <c r="A1074" s="1" t="s">
        <v>5</v>
      </c>
      <c r="B1074" s="1" t="s">
        <v>5</v>
      </c>
      <c r="C1074" s="1" t="s">
        <v>5</v>
      </c>
      <c r="D1074" s="1" t="s">
        <v>5</v>
      </c>
      <c r="E1074" s="1" t="s">
        <v>4</v>
      </c>
      <c r="F1074" s="13" t="s">
        <v>646</v>
      </c>
      <c r="S1074" s="13"/>
      <c r="T1074" s="13"/>
      <c r="U1074" s="17" t="s">
        <v>684</v>
      </c>
      <c r="V1074" s="18">
        <v>2</v>
      </c>
      <c r="W1074" s="47" t="s">
        <v>1019</v>
      </c>
      <c r="X1074" s="18"/>
      <c r="Y1074" s="18"/>
      <c r="Z1074" s="98"/>
      <c r="AA1074" s="19"/>
      <c r="AB1074" s="19"/>
      <c r="AC1074" s="18"/>
    </row>
    <row r="1075" spans="1:29" s="7" customFormat="1" outlineLevel="4" x14ac:dyDescent="0.25">
      <c r="A1075" s="1" t="s">
        <v>5</v>
      </c>
      <c r="B1075" s="1" t="s">
        <v>5</v>
      </c>
      <c r="C1075" s="1" t="s">
        <v>5</v>
      </c>
      <c r="D1075" s="1" t="s">
        <v>5</v>
      </c>
      <c r="E1075" s="1" t="s">
        <v>4</v>
      </c>
      <c r="F1075" s="13" t="s">
        <v>647</v>
      </c>
      <c r="S1075" s="13"/>
      <c r="T1075" s="13"/>
      <c r="U1075" s="17" t="s">
        <v>685</v>
      </c>
      <c r="V1075" s="18">
        <v>1</v>
      </c>
      <c r="W1075" s="47" t="s">
        <v>1019</v>
      </c>
      <c r="X1075" s="18"/>
      <c r="Y1075" s="18"/>
      <c r="Z1075" s="98"/>
      <c r="AA1075" s="19"/>
      <c r="AB1075" s="19"/>
      <c r="AC1075" s="18"/>
    </row>
    <row r="1076" spans="1:29" s="7" customFormat="1" outlineLevel="4" x14ac:dyDescent="0.25">
      <c r="A1076" s="1" t="s">
        <v>5</v>
      </c>
      <c r="B1076" s="1" t="s">
        <v>5</v>
      </c>
      <c r="C1076" s="1" t="s">
        <v>5</v>
      </c>
      <c r="D1076" s="1" t="s">
        <v>5</v>
      </c>
      <c r="E1076" s="1" t="s">
        <v>4</v>
      </c>
      <c r="F1076" s="13" t="s">
        <v>648</v>
      </c>
      <c r="S1076" s="13"/>
      <c r="T1076" s="13"/>
      <c r="U1076" s="17" t="s">
        <v>686</v>
      </c>
      <c r="V1076" s="18">
        <v>1</v>
      </c>
      <c r="W1076" s="47" t="s">
        <v>1019</v>
      </c>
      <c r="X1076" s="18"/>
      <c r="Y1076" s="18"/>
      <c r="Z1076" s="98"/>
      <c r="AA1076" s="19"/>
      <c r="AB1076" s="19"/>
      <c r="AC1076" s="18"/>
    </row>
    <row r="1077" spans="1:29" s="7" customFormat="1" outlineLevel="4" x14ac:dyDescent="0.25">
      <c r="A1077" s="1" t="s">
        <v>5</v>
      </c>
      <c r="B1077" s="1" t="s">
        <v>5</v>
      </c>
      <c r="C1077" s="1" t="s">
        <v>5</v>
      </c>
      <c r="D1077" s="1" t="s">
        <v>5</v>
      </c>
      <c r="E1077" s="1" t="s">
        <v>4</v>
      </c>
      <c r="F1077" s="13" t="s">
        <v>649</v>
      </c>
      <c r="S1077" s="13"/>
      <c r="T1077" s="13"/>
      <c r="U1077" s="17" t="s">
        <v>687</v>
      </c>
      <c r="V1077" s="18">
        <v>1</v>
      </c>
      <c r="W1077" s="47" t="s">
        <v>1019</v>
      </c>
      <c r="X1077" s="18"/>
      <c r="Y1077" s="18"/>
      <c r="Z1077" s="98"/>
      <c r="AA1077" s="19"/>
      <c r="AB1077" s="19"/>
      <c r="AC1077" s="18"/>
    </row>
    <row r="1078" spans="1:29" s="7" customFormat="1" outlineLevel="4" x14ac:dyDescent="0.25">
      <c r="A1078" s="1" t="s">
        <v>5</v>
      </c>
      <c r="B1078" s="1" t="s">
        <v>5</v>
      </c>
      <c r="C1078" s="1" t="s">
        <v>5</v>
      </c>
      <c r="D1078" s="1" t="s">
        <v>5</v>
      </c>
      <c r="E1078" s="1" t="s">
        <v>4</v>
      </c>
      <c r="F1078" s="13" t="s">
        <v>650</v>
      </c>
      <c r="S1078" s="13"/>
      <c r="T1078" s="13"/>
      <c r="U1078" s="17" t="s">
        <v>688</v>
      </c>
      <c r="V1078" s="18">
        <v>1</v>
      </c>
      <c r="W1078" s="47" t="s">
        <v>1019</v>
      </c>
      <c r="X1078" s="18"/>
      <c r="Y1078" s="18"/>
      <c r="Z1078" s="98"/>
      <c r="AA1078" s="19"/>
      <c r="AB1078" s="19"/>
      <c r="AC1078" s="18"/>
    </row>
    <row r="1079" spans="1:29" s="7" customFormat="1" outlineLevel="4" x14ac:dyDescent="0.25">
      <c r="A1079" s="1" t="s">
        <v>5</v>
      </c>
      <c r="B1079" s="1" t="s">
        <v>5</v>
      </c>
      <c r="C1079" s="1" t="s">
        <v>5</v>
      </c>
      <c r="D1079" s="1" t="s">
        <v>5</v>
      </c>
      <c r="E1079" s="1" t="s">
        <v>4</v>
      </c>
      <c r="F1079" s="13" t="s">
        <v>651</v>
      </c>
      <c r="S1079" s="13"/>
      <c r="T1079" s="13"/>
      <c r="U1079" s="17" t="s">
        <v>689</v>
      </c>
      <c r="V1079" s="18">
        <v>1</v>
      </c>
      <c r="W1079" s="47" t="s">
        <v>1019</v>
      </c>
      <c r="X1079" s="18"/>
      <c r="Y1079" s="18"/>
      <c r="Z1079" s="98"/>
      <c r="AA1079" s="19"/>
      <c r="AB1079" s="19"/>
      <c r="AC1079" s="18"/>
    </row>
    <row r="1080" spans="1:29" s="7" customFormat="1" outlineLevel="4" x14ac:dyDescent="0.25">
      <c r="A1080" s="1" t="s">
        <v>5</v>
      </c>
      <c r="B1080" s="1" t="s">
        <v>5</v>
      </c>
      <c r="C1080" s="1" t="s">
        <v>5</v>
      </c>
      <c r="D1080" s="1" t="s">
        <v>5</v>
      </c>
      <c r="E1080" s="1" t="s">
        <v>4</v>
      </c>
      <c r="F1080" s="13" t="s">
        <v>652</v>
      </c>
      <c r="S1080" s="13"/>
      <c r="T1080" s="13"/>
      <c r="U1080" s="17" t="s">
        <v>690</v>
      </c>
      <c r="V1080" s="18">
        <v>1</v>
      </c>
      <c r="W1080" s="47" t="s">
        <v>1019</v>
      </c>
      <c r="X1080" s="18"/>
      <c r="Y1080" s="18"/>
      <c r="Z1080" s="98"/>
      <c r="AA1080" s="19"/>
      <c r="AB1080" s="19"/>
      <c r="AC1080" s="18"/>
    </row>
    <row r="1081" spans="1:29" s="7" customFormat="1" outlineLevel="4" x14ac:dyDescent="0.25">
      <c r="A1081" s="1" t="s">
        <v>5</v>
      </c>
      <c r="B1081" s="1" t="s">
        <v>5</v>
      </c>
      <c r="C1081" s="1" t="s">
        <v>5</v>
      </c>
      <c r="D1081" s="1" t="s">
        <v>5</v>
      </c>
      <c r="E1081" s="1" t="s">
        <v>4</v>
      </c>
      <c r="F1081" s="13" t="s">
        <v>653</v>
      </c>
      <c r="S1081" s="13"/>
      <c r="T1081" s="13"/>
      <c r="U1081" s="17" t="s">
        <v>691</v>
      </c>
      <c r="V1081" s="18">
        <v>1</v>
      </c>
      <c r="W1081" s="47" t="s">
        <v>1019</v>
      </c>
      <c r="X1081" s="18"/>
      <c r="Y1081" s="18"/>
      <c r="Z1081" s="98"/>
      <c r="AA1081" s="19"/>
      <c r="AB1081" s="19"/>
      <c r="AC1081" s="18"/>
    </row>
    <row r="1082" spans="1:29" s="7" customFormat="1" outlineLevel="4" x14ac:dyDescent="0.25">
      <c r="A1082" s="1" t="s">
        <v>5</v>
      </c>
      <c r="B1082" s="1" t="s">
        <v>5</v>
      </c>
      <c r="C1082" s="1" t="s">
        <v>5</v>
      </c>
      <c r="D1082" s="1" t="s">
        <v>5</v>
      </c>
      <c r="E1082" s="1" t="s">
        <v>4</v>
      </c>
      <c r="F1082" s="13" t="s">
        <v>654</v>
      </c>
      <c r="S1082" s="13"/>
      <c r="T1082" s="13"/>
      <c r="U1082" s="17" t="s">
        <v>692</v>
      </c>
      <c r="V1082" s="18">
        <v>1</v>
      </c>
      <c r="W1082" s="47" t="s">
        <v>1019</v>
      </c>
      <c r="X1082" s="18"/>
      <c r="Y1082" s="18"/>
      <c r="Z1082" s="98"/>
      <c r="AA1082" s="19"/>
      <c r="AB1082" s="19"/>
      <c r="AC1082" s="18"/>
    </row>
    <row r="1083" spans="1:29" s="7" customFormat="1" outlineLevel="4" x14ac:dyDescent="0.25">
      <c r="A1083" s="1" t="s">
        <v>5</v>
      </c>
      <c r="B1083" s="1" t="s">
        <v>5</v>
      </c>
      <c r="C1083" s="1" t="s">
        <v>5</v>
      </c>
      <c r="D1083" s="1" t="s">
        <v>5</v>
      </c>
      <c r="E1083" s="1" t="s">
        <v>4</v>
      </c>
      <c r="F1083" s="13" t="s">
        <v>655</v>
      </c>
      <c r="S1083" s="13"/>
      <c r="T1083" s="13"/>
      <c r="U1083" s="17" t="s">
        <v>693</v>
      </c>
      <c r="V1083" s="18">
        <v>7</v>
      </c>
      <c r="W1083" s="47" t="s">
        <v>1019</v>
      </c>
      <c r="X1083" s="18"/>
      <c r="Y1083" s="18"/>
      <c r="Z1083" s="98"/>
      <c r="AA1083" s="19"/>
      <c r="AB1083" s="19"/>
      <c r="AC1083" s="18"/>
    </row>
    <row r="1084" spans="1:29" s="7" customFormat="1" outlineLevel="4" x14ac:dyDescent="0.25">
      <c r="A1084" s="1" t="s">
        <v>5</v>
      </c>
      <c r="B1084" s="1" t="s">
        <v>5</v>
      </c>
      <c r="C1084" s="1" t="s">
        <v>5</v>
      </c>
      <c r="D1084" s="1" t="s">
        <v>5</v>
      </c>
      <c r="E1084" s="1" t="s">
        <v>4</v>
      </c>
      <c r="F1084" s="13" t="s">
        <v>656</v>
      </c>
      <c r="S1084" s="13"/>
      <c r="T1084" s="13"/>
      <c r="U1084" s="17" t="s">
        <v>694</v>
      </c>
      <c r="V1084" s="18">
        <v>5</v>
      </c>
      <c r="W1084" s="47" t="s">
        <v>1019</v>
      </c>
      <c r="X1084" s="18"/>
      <c r="Y1084" s="18"/>
      <c r="Z1084" s="98"/>
      <c r="AA1084" s="19"/>
      <c r="AB1084" s="19"/>
      <c r="AC1084" s="18"/>
    </row>
    <row r="1085" spans="1:29" s="7" customFormat="1" outlineLevel="4" x14ac:dyDescent="0.25">
      <c r="A1085" s="1" t="s">
        <v>5</v>
      </c>
      <c r="B1085" s="1" t="s">
        <v>5</v>
      </c>
      <c r="C1085" s="1" t="s">
        <v>5</v>
      </c>
      <c r="D1085" s="1" t="s">
        <v>5</v>
      </c>
      <c r="E1085" s="1" t="s">
        <v>4</v>
      </c>
      <c r="F1085" s="13" t="s">
        <v>657</v>
      </c>
      <c r="S1085" s="13"/>
      <c r="T1085" s="13"/>
      <c r="U1085" s="17" t="s">
        <v>695</v>
      </c>
      <c r="V1085" s="18">
        <v>1</v>
      </c>
      <c r="W1085" s="47" t="s">
        <v>1019</v>
      </c>
      <c r="X1085" s="18"/>
      <c r="Y1085" s="18"/>
      <c r="Z1085" s="98"/>
      <c r="AA1085" s="19"/>
      <c r="AB1085" s="19"/>
      <c r="AC1085" s="18"/>
    </row>
    <row r="1086" spans="1:29" s="7" customFormat="1" outlineLevel="4" x14ac:dyDescent="0.25">
      <c r="A1086" s="1" t="s">
        <v>5</v>
      </c>
      <c r="B1086" s="1" t="s">
        <v>5</v>
      </c>
      <c r="C1086" s="1" t="s">
        <v>5</v>
      </c>
      <c r="D1086" s="1" t="s">
        <v>5</v>
      </c>
      <c r="E1086" s="1" t="s">
        <v>4</v>
      </c>
      <c r="F1086" s="13" t="s">
        <v>658</v>
      </c>
      <c r="S1086" s="13"/>
      <c r="T1086" s="13"/>
      <c r="U1086" s="17" t="s">
        <v>696</v>
      </c>
      <c r="V1086" s="18">
        <v>1</v>
      </c>
      <c r="W1086" s="47" t="s">
        <v>1019</v>
      </c>
      <c r="X1086" s="18"/>
      <c r="Y1086" s="18"/>
      <c r="Z1086" s="98"/>
      <c r="AA1086" s="19"/>
      <c r="AB1086" s="19"/>
      <c r="AC1086" s="18"/>
    </row>
    <row r="1087" spans="1:29" s="7" customFormat="1" outlineLevel="4" x14ac:dyDescent="0.25">
      <c r="A1087" s="50" t="s">
        <v>5</v>
      </c>
      <c r="B1087" s="50" t="s">
        <v>5</v>
      </c>
      <c r="C1087" s="50" t="s">
        <v>5</v>
      </c>
      <c r="D1087" s="50" t="s">
        <v>5</v>
      </c>
      <c r="E1087" s="50" t="s">
        <v>4</v>
      </c>
      <c r="F1087" s="52" t="s">
        <v>976</v>
      </c>
      <c r="G1087" s="58"/>
      <c r="H1087" s="58"/>
      <c r="I1087" s="58"/>
      <c r="J1087" s="58"/>
      <c r="K1087" s="58"/>
      <c r="L1087" s="58"/>
      <c r="M1087" s="58"/>
      <c r="N1087" s="58"/>
      <c r="O1087" s="58"/>
      <c r="P1087" s="58"/>
      <c r="Q1087" s="58"/>
      <c r="R1087" s="58"/>
      <c r="S1087" s="52"/>
      <c r="T1087" s="52"/>
      <c r="U1087" s="53" t="s">
        <v>697</v>
      </c>
      <c r="V1087" s="54">
        <v>1</v>
      </c>
      <c r="W1087" s="47" t="s">
        <v>1019</v>
      </c>
      <c r="X1087" s="54"/>
      <c r="Y1087" s="54"/>
      <c r="Z1087" s="100"/>
      <c r="AA1087" s="56"/>
      <c r="AB1087" s="56"/>
      <c r="AC1087" s="54"/>
    </row>
    <row r="1088" spans="1:29" s="7" customFormat="1" outlineLevel="4" x14ac:dyDescent="0.25">
      <c r="A1088" s="1" t="s">
        <v>5</v>
      </c>
      <c r="B1088" s="1" t="s">
        <v>5</v>
      </c>
      <c r="C1088" s="1" t="s">
        <v>5</v>
      </c>
      <c r="D1088" s="1" t="s">
        <v>5</v>
      </c>
      <c r="E1088" s="1" t="s">
        <v>4</v>
      </c>
      <c r="F1088" s="13" t="s">
        <v>659</v>
      </c>
      <c r="S1088" s="13"/>
      <c r="T1088" s="13"/>
      <c r="U1088" s="17" t="s">
        <v>698</v>
      </c>
      <c r="V1088" s="18">
        <v>1</v>
      </c>
      <c r="W1088" s="47" t="s">
        <v>1019</v>
      </c>
      <c r="X1088" s="18"/>
      <c r="Y1088" s="18"/>
      <c r="Z1088" s="98"/>
      <c r="AA1088" s="19"/>
      <c r="AB1088" s="19"/>
      <c r="AC1088" s="18"/>
    </row>
    <row r="1089" spans="1:29" s="7" customFormat="1" outlineLevel="4" x14ac:dyDescent="0.25">
      <c r="A1089" s="1" t="s">
        <v>5</v>
      </c>
      <c r="B1089" s="1" t="s">
        <v>5</v>
      </c>
      <c r="C1089" s="1" t="s">
        <v>5</v>
      </c>
      <c r="D1089" s="1" t="s">
        <v>5</v>
      </c>
      <c r="E1089" s="1" t="s">
        <v>4</v>
      </c>
      <c r="F1089" s="13" t="s">
        <v>660</v>
      </c>
      <c r="S1089" s="13"/>
      <c r="T1089" s="13"/>
      <c r="U1089" s="17" t="s">
        <v>699</v>
      </c>
      <c r="V1089" s="18">
        <v>3</v>
      </c>
      <c r="W1089" s="47" t="s">
        <v>1019</v>
      </c>
      <c r="X1089" s="18"/>
      <c r="Y1089" s="18"/>
      <c r="Z1089" s="98"/>
      <c r="AA1089" s="19"/>
      <c r="AB1089" s="19"/>
      <c r="AC1089" s="18"/>
    </row>
    <row r="1090" spans="1:29" s="7" customFormat="1" outlineLevel="4" x14ac:dyDescent="0.25">
      <c r="A1090" s="1" t="s">
        <v>5</v>
      </c>
      <c r="B1090" s="1" t="s">
        <v>5</v>
      </c>
      <c r="C1090" s="1" t="s">
        <v>5</v>
      </c>
      <c r="D1090" s="1" t="s">
        <v>5</v>
      </c>
      <c r="E1090" s="1" t="s">
        <v>4</v>
      </c>
      <c r="F1090" s="13" t="s">
        <v>661</v>
      </c>
      <c r="S1090" s="13"/>
      <c r="T1090" s="13"/>
      <c r="U1090" s="17" t="s">
        <v>700</v>
      </c>
      <c r="V1090" s="18">
        <v>6</v>
      </c>
      <c r="W1090" s="47" t="s">
        <v>1019</v>
      </c>
      <c r="X1090" s="18"/>
      <c r="Y1090" s="18"/>
      <c r="Z1090" s="98"/>
      <c r="AA1090" s="19"/>
      <c r="AB1090" s="19"/>
      <c r="AC1090" s="18"/>
    </row>
    <row r="1091" spans="1:29" s="7" customFormat="1" outlineLevel="4" x14ac:dyDescent="0.25">
      <c r="A1091" s="1" t="s">
        <v>5</v>
      </c>
      <c r="B1091" s="1" t="s">
        <v>5</v>
      </c>
      <c r="C1091" s="1" t="s">
        <v>5</v>
      </c>
      <c r="D1091" s="1" t="s">
        <v>5</v>
      </c>
      <c r="E1091" s="1" t="s">
        <v>4</v>
      </c>
      <c r="F1091" s="13" t="s">
        <v>662</v>
      </c>
      <c r="S1091" s="13"/>
      <c r="T1091" s="13"/>
      <c r="U1091" s="17" t="s">
        <v>701</v>
      </c>
      <c r="V1091" s="18">
        <v>1</v>
      </c>
      <c r="W1091" s="47" t="s">
        <v>1019</v>
      </c>
      <c r="X1091" s="18"/>
      <c r="Y1091" s="18"/>
      <c r="Z1091" s="98"/>
      <c r="AA1091" s="19"/>
      <c r="AB1091" s="19"/>
      <c r="AC1091" s="18"/>
    </row>
    <row r="1092" spans="1:29" s="7" customFormat="1" outlineLevel="4" x14ac:dyDescent="0.25">
      <c r="A1092" s="1" t="s">
        <v>5</v>
      </c>
      <c r="B1092" s="1" t="s">
        <v>5</v>
      </c>
      <c r="C1092" s="1" t="s">
        <v>5</v>
      </c>
      <c r="D1092" s="1" t="s">
        <v>5</v>
      </c>
      <c r="E1092" s="1" t="s">
        <v>4</v>
      </c>
      <c r="F1092" s="13" t="s">
        <v>663</v>
      </c>
      <c r="S1092" s="13"/>
      <c r="T1092" s="13"/>
      <c r="U1092" s="17" t="s">
        <v>702</v>
      </c>
      <c r="V1092" s="18">
        <v>7</v>
      </c>
      <c r="W1092" s="47" t="s">
        <v>1019</v>
      </c>
      <c r="X1092" s="18"/>
      <c r="Y1092" s="18"/>
      <c r="Z1092" s="98"/>
      <c r="AA1092" s="19"/>
      <c r="AB1092" s="19"/>
      <c r="AC1092" s="18"/>
    </row>
    <row r="1093" spans="1:29" s="7" customFormat="1" outlineLevel="4" x14ac:dyDescent="0.25">
      <c r="A1093" s="1" t="s">
        <v>5</v>
      </c>
      <c r="B1093" s="1" t="s">
        <v>5</v>
      </c>
      <c r="C1093" s="1" t="s">
        <v>5</v>
      </c>
      <c r="D1093" s="1" t="s">
        <v>5</v>
      </c>
      <c r="E1093" s="1" t="s">
        <v>4</v>
      </c>
      <c r="F1093" s="13" t="s">
        <v>664</v>
      </c>
      <c r="S1093" s="13"/>
      <c r="T1093" s="13"/>
      <c r="U1093" s="17" t="s">
        <v>703</v>
      </c>
      <c r="V1093" s="18">
        <v>1</v>
      </c>
      <c r="W1093" s="47" t="s">
        <v>1019</v>
      </c>
      <c r="X1093" s="18"/>
      <c r="Y1093" s="18"/>
      <c r="Z1093" s="98"/>
      <c r="AA1093" s="19"/>
      <c r="AB1093" s="19"/>
      <c r="AC1093" s="18"/>
    </row>
    <row r="1094" spans="1:29" s="7" customFormat="1" outlineLevel="4" x14ac:dyDescent="0.25">
      <c r="A1094" s="1" t="s">
        <v>5</v>
      </c>
      <c r="B1094" s="1" t="s">
        <v>5</v>
      </c>
      <c r="C1094" s="1" t="s">
        <v>5</v>
      </c>
      <c r="D1094" s="1" t="s">
        <v>5</v>
      </c>
      <c r="E1094" s="1" t="s">
        <v>4</v>
      </c>
      <c r="F1094" s="13" t="s">
        <v>665</v>
      </c>
      <c r="S1094" s="13"/>
      <c r="T1094" s="13"/>
      <c r="U1094" s="17" t="s">
        <v>704</v>
      </c>
      <c r="V1094" s="18">
        <v>3</v>
      </c>
      <c r="W1094" s="47" t="s">
        <v>1019</v>
      </c>
      <c r="X1094" s="18"/>
      <c r="Y1094" s="18"/>
      <c r="Z1094" s="98"/>
      <c r="AA1094" s="19"/>
      <c r="AB1094" s="19"/>
      <c r="AC1094" s="18"/>
    </row>
    <row r="1095" spans="1:29" s="7" customFormat="1" outlineLevel="4" x14ac:dyDescent="0.25">
      <c r="A1095" s="1" t="s">
        <v>5</v>
      </c>
      <c r="B1095" s="1" t="s">
        <v>5</v>
      </c>
      <c r="C1095" s="1" t="s">
        <v>5</v>
      </c>
      <c r="D1095" s="1" t="s">
        <v>5</v>
      </c>
      <c r="E1095" s="1" t="s">
        <v>4</v>
      </c>
      <c r="F1095" s="13" t="s">
        <v>666</v>
      </c>
      <c r="S1095" s="13"/>
      <c r="T1095" s="13"/>
      <c r="U1095" s="17" t="s">
        <v>705</v>
      </c>
      <c r="V1095" s="18">
        <v>1</v>
      </c>
      <c r="W1095" s="47" t="s">
        <v>1019</v>
      </c>
      <c r="X1095" s="18"/>
      <c r="Y1095" s="18"/>
      <c r="Z1095" s="98"/>
      <c r="AA1095" s="19"/>
      <c r="AB1095" s="19"/>
      <c r="AC1095" s="18"/>
    </row>
    <row r="1096" spans="1:29" s="7" customFormat="1" outlineLevel="4" x14ac:dyDescent="0.25">
      <c r="A1096" s="1" t="s">
        <v>5</v>
      </c>
      <c r="B1096" s="1" t="s">
        <v>5</v>
      </c>
      <c r="C1096" s="1" t="s">
        <v>5</v>
      </c>
      <c r="D1096" s="1" t="s">
        <v>5</v>
      </c>
      <c r="E1096" s="1" t="s">
        <v>4</v>
      </c>
      <c r="F1096" s="13" t="s">
        <v>667</v>
      </c>
      <c r="S1096" s="13"/>
      <c r="T1096" s="13"/>
      <c r="U1096" s="17" t="s">
        <v>706</v>
      </c>
      <c r="V1096" s="18">
        <v>1</v>
      </c>
      <c r="W1096" s="47" t="s">
        <v>1019</v>
      </c>
      <c r="X1096" s="18"/>
      <c r="Y1096" s="18"/>
      <c r="Z1096" s="98"/>
      <c r="AA1096" s="19"/>
      <c r="AB1096" s="19"/>
      <c r="AC1096" s="18"/>
    </row>
    <row r="1097" spans="1:29" s="7" customFormat="1" outlineLevel="4" x14ac:dyDescent="0.25">
      <c r="A1097" s="1" t="s">
        <v>5</v>
      </c>
      <c r="B1097" s="1" t="s">
        <v>5</v>
      </c>
      <c r="C1097" s="1" t="s">
        <v>5</v>
      </c>
      <c r="D1097" s="1" t="s">
        <v>5</v>
      </c>
      <c r="E1097" s="1" t="s">
        <v>4</v>
      </c>
      <c r="F1097" s="13" t="s">
        <v>668</v>
      </c>
      <c r="S1097" s="13"/>
      <c r="T1097" s="13"/>
      <c r="U1097" s="17" t="s">
        <v>707</v>
      </c>
      <c r="V1097" s="18">
        <v>2</v>
      </c>
      <c r="W1097" s="47" t="s">
        <v>1019</v>
      </c>
      <c r="X1097" s="18"/>
      <c r="Y1097" s="18"/>
      <c r="Z1097" s="98"/>
      <c r="AA1097" s="19"/>
      <c r="AB1097" s="19"/>
      <c r="AC1097" s="18"/>
    </row>
    <row r="1098" spans="1:29" s="7" customFormat="1" outlineLevel="4" x14ac:dyDescent="0.25">
      <c r="A1098" s="1" t="s">
        <v>5</v>
      </c>
      <c r="B1098" s="1" t="s">
        <v>5</v>
      </c>
      <c r="C1098" s="1" t="s">
        <v>5</v>
      </c>
      <c r="D1098" s="1" t="s">
        <v>5</v>
      </c>
      <c r="E1098" s="1" t="s">
        <v>4</v>
      </c>
      <c r="F1098" s="13" t="s">
        <v>669</v>
      </c>
      <c r="S1098" s="13"/>
      <c r="T1098" s="13"/>
      <c r="U1098" s="17" t="s">
        <v>708</v>
      </c>
      <c r="V1098" s="18">
        <v>2</v>
      </c>
      <c r="W1098" s="47" t="s">
        <v>1019</v>
      </c>
      <c r="X1098" s="18"/>
      <c r="Y1098" s="18"/>
      <c r="Z1098" s="98"/>
      <c r="AA1098" s="19"/>
      <c r="AB1098" s="19"/>
      <c r="AC1098" s="18"/>
    </row>
    <row r="1099" spans="1:29" s="7" customFormat="1" outlineLevel="4" x14ac:dyDescent="0.25">
      <c r="A1099" s="1" t="s">
        <v>5</v>
      </c>
      <c r="B1099" s="1" t="s">
        <v>5</v>
      </c>
      <c r="C1099" s="1" t="s">
        <v>5</v>
      </c>
      <c r="D1099" s="1" t="s">
        <v>5</v>
      </c>
      <c r="E1099" s="1" t="s">
        <v>4</v>
      </c>
      <c r="F1099" s="13" t="s">
        <v>670</v>
      </c>
      <c r="S1099" s="13"/>
      <c r="T1099" s="13"/>
      <c r="U1099" s="17" t="s">
        <v>709</v>
      </c>
      <c r="V1099" s="18">
        <v>1</v>
      </c>
      <c r="W1099" s="47" t="s">
        <v>1019</v>
      </c>
      <c r="X1099" s="18"/>
      <c r="Y1099" s="18"/>
      <c r="Z1099" s="98"/>
      <c r="AA1099" s="19"/>
      <c r="AB1099" s="19"/>
      <c r="AC1099" s="18"/>
    </row>
    <row r="1100" spans="1:29" s="7" customFormat="1" outlineLevel="4" x14ac:dyDescent="0.25">
      <c r="A1100" s="1" t="s">
        <v>5</v>
      </c>
      <c r="B1100" s="1" t="s">
        <v>5</v>
      </c>
      <c r="C1100" s="1" t="s">
        <v>5</v>
      </c>
      <c r="D1100" s="1" t="s">
        <v>5</v>
      </c>
      <c r="E1100" s="1" t="s">
        <v>4</v>
      </c>
      <c r="F1100" s="13" t="s">
        <v>671</v>
      </c>
      <c r="S1100" s="13"/>
      <c r="T1100" s="13"/>
      <c r="U1100" s="17" t="s">
        <v>710</v>
      </c>
      <c r="V1100" s="18">
        <v>1</v>
      </c>
      <c r="W1100" s="47" t="s">
        <v>1019</v>
      </c>
      <c r="X1100" s="18"/>
      <c r="Y1100" s="18"/>
      <c r="Z1100" s="98"/>
      <c r="AA1100" s="19"/>
      <c r="AB1100" s="19"/>
      <c r="AC1100" s="18"/>
    </row>
    <row r="1101" spans="1:29" s="7" customFormat="1" outlineLevel="4" x14ac:dyDescent="0.25">
      <c r="A1101" s="1" t="s">
        <v>5</v>
      </c>
      <c r="B1101" s="1" t="s">
        <v>5</v>
      </c>
      <c r="C1101" s="1" t="s">
        <v>5</v>
      </c>
      <c r="D1101" s="1" t="s">
        <v>5</v>
      </c>
      <c r="E1101" s="1" t="s">
        <v>4</v>
      </c>
      <c r="F1101" s="13" t="s">
        <v>672</v>
      </c>
      <c r="S1101" s="13"/>
      <c r="T1101" s="13"/>
      <c r="U1101" s="17" t="s">
        <v>711</v>
      </c>
      <c r="V1101" s="18">
        <v>1</v>
      </c>
      <c r="W1101" s="47" t="s">
        <v>1019</v>
      </c>
      <c r="X1101" s="18"/>
      <c r="Y1101" s="18"/>
      <c r="Z1101" s="98"/>
      <c r="AA1101" s="19"/>
      <c r="AB1101" s="19"/>
      <c r="AC1101" s="18"/>
    </row>
    <row r="1102" spans="1:29" s="7" customFormat="1" outlineLevel="4" x14ac:dyDescent="0.25">
      <c r="A1102" s="1" t="s">
        <v>5</v>
      </c>
      <c r="B1102" s="1" t="s">
        <v>5</v>
      </c>
      <c r="C1102" s="1" t="s">
        <v>5</v>
      </c>
      <c r="D1102" s="1" t="s">
        <v>5</v>
      </c>
      <c r="E1102" s="1" t="s">
        <v>4</v>
      </c>
      <c r="F1102" s="13" t="s">
        <v>673</v>
      </c>
      <c r="S1102" s="13"/>
      <c r="T1102" s="13"/>
      <c r="U1102" s="17" t="s">
        <v>712</v>
      </c>
      <c r="V1102" s="18">
        <v>1</v>
      </c>
      <c r="W1102" s="47" t="s">
        <v>1019</v>
      </c>
      <c r="X1102" s="18"/>
      <c r="Y1102" s="18"/>
      <c r="Z1102" s="98"/>
      <c r="AA1102" s="19"/>
      <c r="AB1102" s="19"/>
      <c r="AC1102" s="18"/>
    </row>
    <row r="1103" spans="1:29" s="7" customFormat="1" outlineLevel="4" x14ac:dyDescent="0.25">
      <c r="A1103" s="1" t="s">
        <v>5</v>
      </c>
      <c r="B1103" s="1" t="s">
        <v>5</v>
      </c>
      <c r="C1103" s="1" t="s">
        <v>5</v>
      </c>
      <c r="D1103" s="1" t="s">
        <v>5</v>
      </c>
      <c r="E1103" s="1" t="s">
        <v>49</v>
      </c>
      <c r="F1103" s="13" t="s">
        <v>674</v>
      </c>
      <c r="S1103" s="13"/>
      <c r="T1103" s="13"/>
      <c r="U1103" s="17" t="s">
        <v>713</v>
      </c>
      <c r="V1103" s="18">
        <v>2</v>
      </c>
      <c r="W1103" s="47" t="s">
        <v>1019</v>
      </c>
      <c r="X1103" s="18"/>
      <c r="Y1103" s="18"/>
      <c r="Z1103" s="98"/>
      <c r="AA1103" s="19"/>
      <c r="AB1103" s="19"/>
      <c r="AC1103" s="18"/>
    </row>
    <row r="1104" spans="1:29" s="7" customFormat="1" outlineLevel="3" x14ac:dyDescent="0.25">
      <c r="A1104" s="50" t="s">
        <v>5</v>
      </c>
      <c r="B1104" s="50" t="s">
        <v>5</v>
      </c>
      <c r="C1104" s="50" t="s">
        <v>5</v>
      </c>
      <c r="D1104" s="50" t="s">
        <v>4</v>
      </c>
      <c r="E1104" s="52" t="s">
        <v>1850</v>
      </c>
      <c r="F1104" s="58"/>
      <c r="G1104" s="58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  <c r="R1104" s="52"/>
      <c r="S1104" s="52"/>
      <c r="T1104" s="58"/>
      <c r="U1104" s="53"/>
      <c r="V1104" s="54">
        <v>3</v>
      </c>
      <c r="W1104" s="55" t="s">
        <v>1019</v>
      </c>
      <c r="X1104" s="54"/>
      <c r="Y1104" s="54"/>
      <c r="Z1104" s="100"/>
      <c r="AA1104" s="56"/>
      <c r="AB1104" s="56"/>
      <c r="AC1104" s="54"/>
    </row>
    <row r="1105" spans="1:30" s="7" customFormat="1" outlineLevel="3" x14ac:dyDescent="0.25">
      <c r="A1105" s="50" t="s">
        <v>5</v>
      </c>
      <c r="B1105" s="50" t="s">
        <v>5</v>
      </c>
      <c r="C1105" s="50" t="s">
        <v>5</v>
      </c>
      <c r="D1105" s="50" t="s">
        <v>4</v>
      </c>
      <c r="E1105" s="52" t="s">
        <v>1853</v>
      </c>
      <c r="F1105" s="58"/>
      <c r="G1105" s="58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  <c r="R1105" s="52"/>
      <c r="S1105" s="52"/>
      <c r="T1105" s="58"/>
      <c r="U1105" s="53"/>
      <c r="V1105" s="54">
        <v>1</v>
      </c>
      <c r="W1105" s="55" t="s">
        <v>1019</v>
      </c>
      <c r="X1105" s="54"/>
      <c r="Y1105" s="54"/>
      <c r="Z1105" s="100"/>
      <c r="AA1105" s="56"/>
      <c r="AB1105" s="56"/>
      <c r="AC1105" s="54"/>
    </row>
    <row r="1106" spans="1:30" s="7" customFormat="1" outlineLevel="3" x14ac:dyDescent="0.25">
      <c r="A1106" s="50" t="s">
        <v>5</v>
      </c>
      <c r="B1106" s="50" t="s">
        <v>5</v>
      </c>
      <c r="C1106" s="50" t="s">
        <v>5</v>
      </c>
      <c r="D1106" s="50" t="s">
        <v>4</v>
      </c>
      <c r="E1106" s="52" t="s">
        <v>1855</v>
      </c>
      <c r="F1106" s="58"/>
      <c r="G1106" s="58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  <c r="R1106" s="52"/>
      <c r="S1106" s="52"/>
      <c r="T1106" s="58"/>
      <c r="U1106" s="53"/>
      <c r="V1106" s="54">
        <v>1</v>
      </c>
      <c r="W1106" s="55" t="s">
        <v>1019</v>
      </c>
      <c r="X1106" s="54"/>
      <c r="Y1106" s="54"/>
      <c r="Z1106" s="100"/>
      <c r="AA1106" s="56"/>
      <c r="AB1106" s="56"/>
      <c r="AC1106" s="54"/>
    </row>
    <row r="1107" spans="1:30" s="7" customFormat="1" outlineLevel="3" x14ac:dyDescent="0.25">
      <c r="A1107" s="50" t="s">
        <v>5</v>
      </c>
      <c r="B1107" s="50" t="s">
        <v>5</v>
      </c>
      <c r="C1107" s="50" t="s">
        <v>5</v>
      </c>
      <c r="D1107" s="50" t="s">
        <v>4</v>
      </c>
      <c r="E1107" s="52" t="s">
        <v>1023</v>
      </c>
      <c r="F1107" s="58"/>
      <c r="G1107" s="58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  <c r="R1107" s="52"/>
      <c r="S1107" s="52"/>
      <c r="T1107" s="58"/>
      <c r="U1107" s="53"/>
      <c r="V1107" s="54">
        <v>3</v>
      </c>
      <c r="W1107" s="55" t="s">
        <v>1019</v>
      </c>
      <c r="X1107" s="54"/>
      <c r="Y1107" s="54"/>
      <c r="Z1107" s="100"/>
      <c r="AA1107" s="56"/>
      <c r="AB1107" s="56"/>
      <c r="AC1107" s="54"/>
    </row>
    <row r="1108" spans="1:30" s="7" customFormat="1" outlineLevel="3" x14ac:dyDescent="0.25">
      <c r="A1108" s="50" t="s">
        <v>5</v>
      </c>
      <c r="B1108" s="50" t="s">
        <v>5</v>
      </c>
      <c r="C1108" s="50" t="s">
        <v>5</v>
      </c>
      <c r="D1108" s="50" t="s">
        <v>4</v>
      </c>
      <c r="E1108" s="52" t="s">
        <v>1100</v>
      </c>
      <c r="F1108" s="58"/>
      <c r="G1108" s="58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  <c r="R1108" s="52"/>
      <c r="S1108" s="52"/>
      <c r="T1108" s="58"/>
      <c r="U1108" s="53"/>
      <c r="V1108" s="54">
        <v>1</v>
      </c>
      <c r="W1108" s="55" t="s">
        <v>1019</v>
      </c>
      <c r="X1108" s="54"/>
      <c r="Y1108" s="54"/>
      <c r="Z1108" s="100"/>
      <c r="AA1108" s="56"/>
      <c r="AB1108" s="56"/>
      <c r="AC1108" s="54"/>
    </row>
    <row r="1109" spans="1:30" s="7" customFormat="1" outlineLevel="3" x14ac:dyDescent="0.25">
      <c r="A1109" s="50" t="s">
        <v>5</v>
      </c>
      <c r="B1109" s="50" t="s">
        <v>5</v>
      </c>
      <c r="C1109" s="50" t="s">
        <v>5</v>
      </c>
      <c r="D1109" s="50" t="s">
        <v>4</v>
      </c>
      <c r="E1109" s="52" t="s">
        <v>1024</v>
      </c>
      <c r="F1109" s="58"/>
      <c r="G1109" s="58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  <c r="R1109" s="52"/>
      <c r="S1109" s="52"/>
      <c r="T1109" s="58"/>
      <c r="U1109" s="53"/>
      <c r="V1109" s="54">
        <v>3</v>
      </c>
      <c r="W1109" s="55" t="s">
        <v>1019</v>
      </c>
      <c r="X1109" s="54"/>
      <c r="Y1109" s="54"/>
      <c r="Z1109" s="100"/>
      <c r="AA1109" s="56"/>
      <c r="AB1109" s="56"/>
      <c r="AC1109" s="54"/>
    </row>
    <row r="1110" spans="1:30" s="7" customFormat="1" outlineLevel="3" x14ac:dyDescent="0.25">
      <c r="A1110" s="50" t="s">
        <v>5</v>
      </c>
      <c r="B1110" s="50" t="s">
        <v>5</v>
      </c>
      <c r="C1110" s="50" t="s">
        <v>5</v>
      </c>
      <c r="D1110" s="50" t="s">
        <v>4</v>
      </c>
      <c r="E1110" s="52" t="s">
        <v>1105</v>
      </c>
      <c r="F1110" s="58"/>
      <c r="G1110" s="58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  <c r="R1110" s="52"/>
      <c r="S1110" s="52"/>
      <c r="T1110" s="58"/>
      <c r="U1110" s="53"/>
      <c r="V1110" s="54">
        <v>1</v>
      </c>
      <c r="W1110" s="55" t="s">
        <v>1019</v>
      </c>
      <c r="X1110" s="54"/>
      <c r="Y1110" s="54"/>
      <c r="Z1110" s="100"/>
      <c r="AA1110" s="56"/>
      <c r="AB1110" s="56"/>
      <c r="AC1110" s="54"/>
    </row>
    <row r="1111" spans="1:30" s="7" customFormat="1" outlineLevel="3" x14ac:dyDescent="0.25">
      <c r="A1111" s="50" t="s">
        <v>5</v>
      </c>
      <c r="B1111" s="50" t="s">
        <v>5</v>
      </c>
      <c r="C1111" s="50" t="s">
        <v>5</v>
      </c>
      <c r="D1111" s="50" t="s">
        <v>49</v>
      </c>
      <c r="E1111" s="52" t="s">
        <v>1111</v>
      </c>
      <c r="F1111" s="58"/>
      <c r="G1111" s="58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  <c r="R1111" s="52"/>
      <c r="S1111" s="52"/>
      <c r="T1111" s="58"/>
      <c r="U1111" s="53">
        <v>62452</v>
      </c>
      <c r="V1111" s="54">
        <v>1</v>
      </c>
      <c r="W1111" s="55" t="s">
        <v>1019</v>
      </c>
      <c r="X1111" s="54"/>
      <c r="Y1111" s="54"/>
      <c r="Z1111" s="100"/>
      <c r="AA1111" s="56"/>
      <c r="AB1111" s="56"/>
      <c r="AC1111" s="54"/>
    </row>
    <row r="1112" spans="1:30" s="7" customFormat="1" outlineLevel="2" x14ac:dyDescent="0.25">
      <c r="A1112" s="1" t="s">
        <v>5</v>
      </c>
      <c r="B1112" s="1" t="s">
        <v>5</v>
      </c>
      <c r="C1112" s="1" t="s">
        <v>4</v>
      </c>
      <c r="D1112" s="5" t="s">
        <v>165</v>
      </c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7" t="s">
        <v>2371</v>
      </c>
      <c r="V1112" s="18">
        <v>1</v>
      </c>
      <c r="W1112" s="47" t="s">
        <v>1019</v>
      </c>
      <c r="X1112" s="18"/>
      <c r="Y1112" s="18"/>
      <c r="Z1112" s="98"/>
      <c r="AA1112" s="19"/>
      <c r="AB1112" s="19"/>
      <c r="AC1112" s="18"/>
    </row>
    <row r="1113" spans="1:30" s="13" customFormat="1" outlineLevel="3" x14ac:dyDescent="0.25">
      <c r="A1113" s="1" t="s">
        <v>5</v>
      </c>
      <c r="B1113" s="7"/>
      <c r="C1113" s="1" t="s">
        <v>5</v>
      </c>
      <c r="D1113" s="1" t="s">
        <v>4</v>
      </c>
      <c r="E1113" s="13" t="s">
        <v>160</v>
      </c>
      <c r="U1113" s="17" t="s">
        <v>2372</v>
      </c>
      <c r="V1113" s="18">
        <v>1</v>
      </c>
      <c r="W1113" s="47" t="s">
        <v>1019</v>
      </c>
      <c r="X1113" s="18"/>
      <c r="Y1113" s="21"/>
      <c r="Z1113" s="98"/>
      <c r="AA1113" s="19"/>
      <c r="AB1113" s="19"/>
      <c r="AC1113" s="18"/>
      <c r="AD1113" s="7"/>
    </row>
    <row r="1114" spans="1:30" s="7" customFormat="1" outlineLevel="3" x14ac:dyDescent="0.25">
      <c r="A1114" s="1" t="s">
        <v>5</v>
      </c>
      <c r="B1114" s="13"/>
      <c r="C1114" s="1" t="s">
        <v>5</v>
      </c>
      <c r="D1114" s="1" t="s">
        <v>49</v>
      </c>
      <c r="E1114" s="5" t="s">
        <v>199</v>
      </c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7" t="s">
        <v>2373</v>
      </c>
      <c r="V1114" s="18">
        <v>1</v>
      </c>
      <c r="W1114" s="47" t="s">
        <v>1019</v>
      </c>
      <c r="X1114" s="18"/>
      <c r="Y1114" s="18"/>
      <c r="Z1114" s="98"/>
      <c r="AA1114" s="19"/>
      <c r="AB1114" s="19"/>
      <c r="AC1114" s="18"/>
    </row>
    <row r="1115" spans="1:30" s="13" customFormat="1" outlineLevel="4" x14ac:dyDescent="0.25">
      <c r="A1115" s="1" t="s">
        <v>5</v>
      </c>
      <c r="B1115" s="7"/>
      <c r="C1115" s="1" t="s">
        <v>5</v>
      </c>
      <c r="D1115" s="4"/>
      <c r="E1115" s="1" t="s">
        <v>4</v>
      </c>
      <c r="F1115" s="13" t="s">
        <v>10</v>
      </c>
      <c r="U1115" s="17" t="s">
        <v>11</v>
      </c>
      <c r="V1115" s="18">
        <v>1</v>
      </c>
      <c r="W1115" s="47" t="s">
        <v>1019</v>
      </c>
      <c r="X1115" s="18" t="s">
        <v>8</v>
      </c>
      <c r="Y1115" s="21" t="s">
        <v>12</v>
      </c>
      <c r="Z1115" s="98"/>
      <c r="AA1115" s="19">
        <v>240.54</v>
      </c>
      <c r="AB1115" s="19"/>
      <c r="AC1115" s="18"/>
      <c r="AD1115" s="7"/>
    </row>
    <row r="1116" spans="1:30" s="7" customFormat="1" outlineLevel="4" x14ac:dyDescent="0.25">
      <c r="A1116" s="1" t="s">
        <v>5</v>
      </c>
      <c r="C1116" s="1" t="s">
        <v>5</v>
      </c>
      <c r="D1116" s="4"/>
      <c r="E1116" s="1" t="s">
        <v>4</v>
      </c>
      <c r="F1116" s="13" t="s">
        <v>159</v>
      </c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7" t="s">
        <v>163</v>
      </c>
      <c r="V1116" s="18">
        <v>1</v>
      </c>
      <c r="W1116" s="47" t="s">
        <v>1019</v>
      </c>
      <c r="X1116" s="18" t="s">
        <v>209</v>
      </c>
      <c r="Y1116" s="22" t="s">
        <v>161</v>
      </c>
      <c r="Z1116" s="98"/>
      <c r="AA1116" s="19">
        <v>4497</v>
      </c>
      <c r="AB1116" s="19"/>
      <c r="AC1116" s="18"/>
    </row>
    <row r="1117" spans="1:30" s="7" customFormat="1" outlineLevel="4" x14ac:dyDescent="0.25">
      <c r="A1117" s="1" t="s">
        <v>5</v>
      </c>
      <c r="C1117" s="1" t="s">
        <v>5</v>
      </c>
      <c r="D1117" s="4"/>
      <c r="E1117" s="1" t="s">
        <v>49</v>
      </c>
      <c r="F1117" s="13" t="s">
        <v>1065</v>
      </c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7"/>
      <c r="V1117" s="18">
        <v>0.05</v>
      </c>
      <c r="W1117" s="47" t="s">
        <v>1018</v>
      </c>
      <c r="X1117" s="18"/>
      <c r="Y1117" s="22"/>
      <c r="Z1117" s="98"/>
      <c r="AA1117" s="19">
        <f>AA600</f>
        <v>0</v>
      </c>
      <c r="AB1117" s="19"/>
      <c r="AC1117" s="18"/>
    </row>
    <row r="1118" spans="1:30" s="7" customFormat="1" outlineLevel="1" x14ac:dyDescent="0.25">
      <c r="A1118" s="1" t="s">
        <v>5</v>
      </c>
      <c r="B1118" s="1" t="s">
        <v>4</v>
      </c>
      <c r="C1118" s="5" t="s">
        <v>181</v>
      </c>
      <c r="D1118" s="13"/>
      <c r="E1118" s="13"/>
      <c r="F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53" t="s">
        <v>2374</v>
      </c>
      <c r="V1118" s="18">
        <v>1</v>
      </c>
      <c r="W1118" s="47" t="s">
        <v>1019</v>
      </c>
      <c r="X1118" s="18" t="s">
        <v>175</v>
      </c>
      <c r="Y1118" s="18"/>
      <c r="Z1118" s="98" t="s">
        <v>2049</v>
      </c>
      <c r="AA1118" s="19"/>
      <c r="AB1118" s="19"/>
      <c r="AC1118" s="18"/>
    </row>
    <row r="1119" spans="1:30" s="7" customFormat="1" outlineLevel="2" x14ac:dyDescent="0.25">
      <c r="A1119" s="1" t="s">
        <v>5</v>
      </c>
      <c r="B1119" s="1" t="s">
        <v>5</v>
      </c>
      <c r="C1119" s="1" t="s">
        <v>4</v>
      </c>
      <c r="D1119" s="13" t="s">
        <v>288</v>
      </c>
      <c r="E1119" s="13"/>
      <c r="F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7" t="s">
        <v>2375</v>
      </c>
      <c r="V1119" s="18">
        <v>1</v>
      </c>
      <c r="W1119" s="47" t="s">
        <v>1019</v>
      </c>
      <c r="X1119" s="18"/>
      <c r="Y1119" s="18"/>
      <c r="Z1119" s="98"/>
      <c r="AA1119" s="19"/>
      <c r="AB1119" s="19"/>
      <c r="AC1119" s="18"/>
    </row>
    <row r="1120" spans="1:30" s="7" customFormat="1" outlineLevel="2" x14ac:dyDescent="0.25">
      <c r="A1120" s="1" t="s">
        <v>5</v>
      </c>
      <c r="B1120" s="1" t="s">
        <v>5</v>
      </c>
      <c r="C1120" s="1" t="s">
        <v>4</v>
      </c>
      <c r="D1120" s="13" t="s">
        <v>275</v>
      </c>
      <c r="E1120" s="13"/>
      <c r="F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7" t="s">
        <v>278</v>
      </c>
      <c r="V1120" s="18">
        <v>1</v>
      </c>
      <c r="W1120" s="47" t="s">
        <v>1019</v>
      </c>
      <c r="X1120" s="18"/>
      <c r="Y1120" s="18"/>
      <c r="Z1120" s="98"/>
      <c r="AA1120" s="19"/>
      <c r="AB1120" s="19"/>
      <c r="AC1120" s="18"/>
    </row>
    <row r="1121" spans="1:29" s="7" customFormat="1" outlineLevel="2" x14ac:dyDescent="0.25">
      <c r="A1121" s="1" t="s">
        <v>5</v>
      </c>
      <c r="B1121" s="1" t="s">
        <v>5</v>
      </c>
      <c r="C1121" s="1" t="s">
        <v>4</v>
      </c>
      <c r="D1121" s="13" t="s">
        <v>276</v>
      </c>
      <c r="E1121" s="13"/>
      <c r="F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7" t="s">
        <v>279</v>
      </c>
      <c r="V1121" s="18">
        <v>2</v>
      </c>
      <c r="W1121" s="47" t="s">
        <v>1019</v>
      </c>
      <c r="X1121" s="18"/>
      <c r="Y1121" s="18"/>
      <c r="Z1121" s="98"/>
      <c r="AA1121" s="19"/>
      <c r="AB1121" s="19"/>
      <c r="AC1121" s="18"/>
    </row>
    <row r="1122" spans="1:29" s="7" customFormat="1" outlineLevel="2" x14ac:dyDescent="0.25">
      <c r="A1122" s="1" t="s">
        <v>5</v>
      </c>
      <c r="B1122" s="1" t="s">
        <v>5</v>
      </c>
      <c r="C1122" s="1" t="s">
        <v>4</v>
      </c>
      <c r="D1122" s="5" t="s">
        <v>277</v>
      </c>
      <c r="E1122" s="13"/>
      <c r="F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7" t="s">
        <v>280</v>
      </c>
      <c r="V1122" s="18">
        <v>1</v>
      </c>
      <c r="W1122" s="47" t="s">
        <v>1019</v>
      </c>
      <c r="X1122" s="18"/>
      <c r="Y1122" s="18"/>
      <c r="Z1122" s="98"/>
      <c r="AA1122" s="19"/>
      <c r="AB1122" s="19"/>
      <c r="AC1122" s="18"/>
    </row>
    <row r="1123" spans="1:29" s="7" customFormat="1" outlineLevel="3" x14ac:dyDescent="0.25">
      <c r="A1123" s="1" t="s">
        <v>5</v>
      </c>
      <c r="B1123" s="1" t="s">
        <v>5</v>
      </c>
      <c r="C1123" s="1" t="s">
        <v>5</v>
      </c>
      <c r="D1123" s="1" t="s">
        <v>4</v>
      </c>
      <c r="E1123" s="13" t="s">
        <v>923</v>
      </c>
      <c r="F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7" t="s">
        <v>922</v>
      </c>
      <c r="V1123" s="18">
        <v>1</v>
      </c>
      <c r="W1123" s="47" t="s">
        <v>1019</v>
      </c>
      <c r="X1123" s="18" t="s">
        <v>66</v>
      </c>
      <c r="Y1123" s="18"/>
      <c r="Z1123" s="98"/>
      <c r="AA1123" s="19">
        <v>5021</v>
      </c>
      <c r="AB1123" s="19"/>
      <c r="AC1123" s="18"/>
    </row>
    <row r="1124" spans="1:29" s="7" customFormat="1" outlineLevel="3" x14ac:dyDescent="0.25">
      <c r="A1124" s="1" t="s">
        <v>5</v>
      </c>
      <c r="B1124" s="1" t="s">
        <v>5</v>
      </c>
      <c r="C1124" s="1" t="s">
        <v>5</v>
      </c>
      <c r="D1124" s="1" t="s">
        <v>4</v>
      </c>
      <c r="E1124" s="13" t="s">
        <v>221</v>
      </c>
      <c r="F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7" t="s">
        <v>222</v>
      </c>
      <c r="V1124" s="18">
        <v>0.12</v>
      </c>
      <c r="W1124" s="47" t="s">
        <v>1019</v>
      </c>
      <c r="X1124" s="18"/>
      <c r="Y1124" s="18"/>
      <c r="Z1124" s="98"/>
      <c r="AA1124" s="19"/>
      <c r="AB1124" s="19"/>
      <c r="AC1124" s="18"/>
    </row>
    <row r="1125" spans="1:29" s="7" customFormat="1" outlineLevel="2" x14ac:dyDescent="0.25">
      <c r="A1125" s="1" t="s">
        <v>5</v>
      </c>
      <c r="B1125" s="1" t="s">
        <v>5</v>
      </c>
      <c r="C1125" s="1" t="s">
        <v>4</v>
      </c>
      <c r="D1125" s="13" t="s">
        <v>281</v>
      </c>
      <c r="E1125" s="13"/>
      <c r="F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7" t="s">
        <v>282</v>
      </c>
      <c r="V1125" s="18">
        <v>2</v>
      </c>
      <c r="W1125" s="47" t="s">
        <v>1019</v>
      </c>
      <c r="X1125" s="18" t="s">
        <v>175</v>
      </c>
      <c r="Y1125" s="18"/>
      <c r="Z1125" s="98"/>
      <c r="AA1125" s="19"/>
      <c r="AB1125" s="19"/>
      <c r="AC1125" s="18" t="s">
        <v>2572</v>
      </c>
    </row>
    <row r="1126" spans="1:29" s="7" customFormat="1" outlineLevel="4" x14ac:dyDescent="0.25">
      <c r="A1126" s="1" t="s">
        <v>5</v>
      </c>
      <c r="B1126" s="1" t="s">
        <v>5</v>
      </c>
      <c r="C1126" s="1" t="s">
        <v>4</v>
      </c>
      <c r="D1126" s="13" t="s">
        <v>1816</v>
      </c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7"/>
      <c r="V1126" s="18">
        <v>4</v>
      </c>
      <c r="W1126" s="47" t="s">
        <v>1019</v>
      </c>
      <c r="X1126" s="18"/>
      <c r="Y1126" s="18"/>
      <c r="Z1126" s="98"/>
      <c r="AA1126" s="19"/>
      <c r="AB1126" s="19"/>
      <c r="AC1126" s="18"/>
    </row>
    <row r="1127" spans="1:29" s="7" customFormat="1" outlineLevel="2" x14ac:dyDescent="0.25">
      <c r="A1127" s="1" t="s">
        <v>5</v>
      </c>
      <c r="B1127" s="1" t="s">
        <v>5</v>
      </c>
      <c r="C1127" s="1" t="s">
        <v>4</v>
      </c>
      <c r="D1127" s="13" t="s">
        <v>1814</v>
      </c>
      <c r="E1127" s="13"/>
      <c r="F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7"/>
      <c r="V1127" s="18">
        <v>4</v>
      </c>
      <c r="W1127" s="47" t="s">
        <v>1019</v>
      </c>
      <c r="X1127" s="18"/>
      <c r="Y1127" s="18"/>
      <c r="Z1127" s="98"/>
      <c r="AA1127" s="19"/>
      <c r="AB1127" s="19"/>
      <c r="AC1127" s="18"/>
    </row>
    <row r="1128" spans="1:29" s="7" customFormat="1" outlineLevel="2" x14ac:dyDescent="0.25">
      <c r="A1128" s="1" t="s">
        <v>5</v>
      </c>
      <c r="B1128" s="1" t="s">
        <v>5</v>
      </c>
      <c r="C1128" s="1" t="s">
        <v>4</v>
      </c>
      <c r="D1128" s="13" t="s">
        <v>1815</v>
      </c>
      <c r="E1128" s="13"/>
      <c r="F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7"/>
      <c r="V1128" s="18">
        <v>12</v>
      </c>
      <c r="W1128" s="47" t="s">
        <v>1019</v>
      </c>
      <c r="X1128" s="18"/>
      <c r="Y1128" s="18"/>
      <c r="Z1128" s="98"/>
      <c r="AA1128" s="19"/>
      <c r="AB1128" s="19"/>
      <c r="AC1128" s="18"/>
    </row>
    <row r="1129" spans="1:29" s="7" customFormat="1" outlineLevel="2" x14ac:dyDescent="0.25">
      <c r="A1129" s="50" t="s">
        <v>5</v>
      </c>
      <c r="B1129" s="50" t="s">
        <v>5</v>
      </c>
      <c r="C1129" s="50" t="s">
        <v>4</v>
      </c>
      <c r="D1129" s="52" t="s">
        <v>1813</v>
      </c>
      <c r="E1129" s="52"/>
      <c r="F1129" s="52"/>
      <c r="G1129" s="58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  <c r="R1129" s="52"/>
      <c r="S1129" s="52"/>
      <c r="T1129" s="52"/>
      <c r="U1129" s="53"/>
      <c r="V1129" s="54">
        <v>4</v>
      </c>
      <c r="W1129" s="55" t="s">
        <v>1019</v>
      </c>
      <c r="X1129" s="54"/>
      <c r="Y1129" s="54"/>
      <c r="Z1129" s="100"/>
      <c r="AA1129" s="56"/>
      <c r="AB1129" s="56"/>
      <c r="AC1129" s="54"/>
    </row>
    <row r="1130" spans="1:29" s="7" customFormat="1" outlineLevel="2" x14ac:dyDescent="0.25">
      <c r="A1130" s="50" t="s">
        <v>5</v>
      </c>
      <c r="B1130" s="50" t="s">
        <v>5</v>
      </c>
      <c r="C1130" s="50" t="s">
        <v>4</v>
      </c>
      <c r="D1130" s="52" t="s">
        <v>1102</v>
      </c>
      <c r="E1130" s="52"/>
      <c r="F1130" s="52"/>
      <c r="G1130" s="58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  <c r="R1130" s="52"/>
      <c r="S1130" s="52"/>
      <c r="T1130" s="52"/>
      <c r="U1130" s="53"/>
      <c r="V1130" s="54">
        <v>20</v>
      </c>
      <c r="W1130" s="55" t="s">
        <v>1019</v>
      </c>
      <c r="X1130" s="54"/>
      <c r="Y1130" s="54"/>
      <c r="Z1130" s="100"/>
      <c r="AA1130" s="56"/>
      <c r="AB1130" s="56"/>
      <c r="AC1130" s="54"/>
    </row>
    <row r="1131" spans="1:29" s="7" customFormat="1" outlineLevel="2" x14ac:dyDescent="0.25">
      <c r="A1131" s="50" t="s">
        <v>5</v>
      </c>
      <c r="B1131" s="50" t="s">
        <v>5</v>
      </c>
      <c r="C1131" s="50" t="s">
        <v>4</v>
      </c>
      <c r="D1131" s="52" t="s">
        <v>1812</v>
      </c>
      <c r="E1131" s="52"/>
      <c r="F1131" s="52"/>
      <c r="G1131" s="58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  <c r="R1131" s="52"/>
      <c r="S1131" s="52"/>
      <c r="T1131" s="52"/>
      <c r="U1131" s="53"/>
      <c r="V1131" s="54">
        <v>4</v>
      </c>
      <c r="W1131" s="55" t="s">
        <v>1019</v>
      </c>
      <c r="X1131" s="54"/>
      <c r="Y1131" s="54"/>
      <c r="Z1131" s="100"/>
      <c r="AA1131" s="56"/>
      <c r="AB1131" s="56"/>
      <c r="AC1131" s="54"/>
    </row>
    <row r="1132" spans="1:29" s="7" customFormat="1" outlineLevel="2" x14ac:dyDescent="0.25">
      <c r="A1132" s="50" t="s">
        <v>5</v>
      </c>
      <c r="B1132" s="50" t="s">
        <v>5</v>
      </c>
      <c r="C1132" s="50" t="s">
        <v>4</v>
      </c>
      <c r="D1132" s="52" t="s">
        <v>326</v>
      </c>
      <c r="E1132" s="52"/>
      <c r="F1132" s="52"/>
      <c r="G1132" s="58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  <c r="R1132" s="52"/>
      <c r="S1132" s="52"/>
      <c r="T1132" s="52"/>
      <c r="U1132" s="53"/>
      <c r="V1132" s="54">
        <v>12</v>
      </c>
      <c r="W1132" s="55" t="s">
        <v>1019</v>
      </c>
      <c r="X1132" s="54"/>
      <c r="Y1132" s="54"/>
      <c r="Z1132" s="100"/>
      <c r="AA1132" s="56"/>
      <c r="AB1132" s="56"/>
      <c r="AC1132" s="54"/>
    </row>
    <row r="1133" spans="1:29" s="7" customFormat="1" outlineLevel="2" x14ac:dyDescent="0.25">
      <c r="A1133" s="50" t="s">
        <v>5</v>
      </c>
      <c r="B1133" s="50" t="s">
        <v>5</v>
      </c>
      <c r="C1133" s="50" t="s">
        <v>4</v>
      </c>
      <c r="D1133" s="52" t="s">
        <v>568</v>
      </c>
      <c r="E1133" s="52"/>
      <c r="F1133" s="52"/>
      <c r="G1133" s="58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  <c r="R1133" s="52"/>
      <c r="S1133" s="52"/>
      <c r="T1133" s="52"/>
      <c r="U1133" s="53"/>
      <c r="V1133" s="54">
        <v>4</v>
      </c>
      <c r="W1133" s="55" t="s">
        <v>1019</v>
      </c>
      <c r="X1133" s="54"/>
      <c r="Y1133" s="54"/>
      <c r="Z1133" s="100"/>
      <c r="AA1133" s="56"/>
      <c r="AB1133" s="56"/>
      <c r="AC1133" s="54"/>
    </row>
    <row r="1134" spans="1:29" s="7" customFormat="1" outlineLevel="2" x14ac:dyDescent="0.25">
      <c r="A1134" s="50" t="s">
        <v>5</v>
      </c>
      <c r="B1134" s="50" t="s">
        <v>5</v>
      </c>
      <c r="C1134" s="50" t="s">
        <v>4</v>
      </c>
      <c r="D1134" s="52" t="s">
        <v>283</v>
      </c>
      <c r="E1134" s="52"/>
      <c r="F1134" s="52"/>
      <c r="G1134" s="58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  <c r="R1134" s="52"/>
      <c r="S1134" s="52"/>
      <c r="T1134" s="52"/>
      <c r="U1134" s="53"/>
      <c r="V1134" s="54">
        <v>8</v>
      </c>
      <c r="W1134" s="55" t="s">
        <v>1019</v>
      </c>
      <c r="X1134" s="54"/>
      <c r="Y1134" s="54"/>
      <c r="Z1134" s="100"/>
      <c r="AA1134" s="56"/>
      <c r="AB1134" s="56"/>
      <c r="AC1134" s="54"/>
    </row>
    <row r="1135" spans="1:29" s="7" customFormat="1" outlineLevel="2" x14ac:dyDescent="0.25">
      <c r="A1135" s="50" t="s">
        <v>5</v>
      </c>
      <c r="B1135" s="50" t="s">
        <v>5</v>
      </c>
      <c r="C1135" s="50" t="s">
        <v>4</v>
      </c>
      <c r="D1135" s="52" t="s">
        <v>284</v>
      </c>
      <c r="E1135" s="52"/>
      <c r="F1135" s="52"/>
      <c r="G1135" s="58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  <c r="R1135" s="52"/>
      <c r="S1135" s="52"/>
      <c r="T1135" s="52"/>
      <c r="U1135" s="53" t="s">
        <v>285</v>
      </c>
      <c r="V1135" s="54">
        <v>2</v>
      </c>
      <c r="W1135" s="55" t="s">
        <v>1019</v>
      </c>
      <c r="X1135" s="54"/>
      <c r="Y1135" s="54"/>
      <c r="Z1135" s="100"/>
      <c r="AA1135" s="56"/>
      <c r="AB1135" s="56"/>
      <c r="AC1135" s="54" t="s">
        <v>287</v>
      </c>
    </row>
    <row r="1136" spans="1:29" s="7" customFormat="1" outlineLevel="2" x14ac:dyDescent="0.25">
      <c r="A1136" s="50" t="s">
        <v>5</v>
      </c>
      <c r="B1136" s="50" t="s">
        <v>5</v>
      </c>
      <c r="C1136" s="50" t="s">
        <v>4</v>
      </c>
      <c r="D1136" s="52" t="s">
        <v>286</v>
      </c>
      <c r="E1136" s="52"/>
      <c r="F1136" s="52"/>
      <c r="G1136" s="58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  <c r="R1136" s="52"/>
      <c r="S1136" s="52"/>
      <c r="T1136" s="52"/>
      <c r="U1136" s="53"/>
      <c r="V1136" s="54">
        <v>2</v>
      </c>
      <c r="W1136" s="55" t="s">
        <v>1019</v>
      </c>
      <c r="X1136" s="54"/>
      <c r="Y1136" s="54"/>
      <c r="Z1136" s="100"/>
      <c r="AA1136" s="56"/>
      <c r="AB1136" s="56"/>
      <c r="AC1136" s="54" t="s">
        <v>287</v>
      </c>
    </row>
    <row r="1137" spans="1:29" s="7" customFormat="1" outlineLevel="2" x14ac:dyDescent="0.25">
      <c r="A1137" s="50" t="s">
        <v>5</v>
      </c>
      <c r="B1137" s="50" t="s">
        <v>5</v>
      </c>
      <c r="C1137" s="50" t="s">
        <v>4</v>
      </c>
      <c r="D1137" s="52" t="s">
        <v>1811</v>
      </c>
      <c r="E1137" s="58"/>
      <c r="F1137" s="52"/>
      <c r="G1137" s="58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  <c r="R1137" s="52"/>
      <c r="S1137" s="52"/>
      <c r="T1137" s="52"/>
      <c r="U1137" s="53" t="s">
        <v>23</v>
      </c>
      <c r="V1137" s="54">
        <v>1</v>
      </c>
      <c r="W1137" s="55" t="s">
        <v>1019</v>
      </c>
      <c r="X1137" s="54" t="s">
        <v>8</v>
      </c>
      <c r="Y1137" s="60" t="s">
        <v>24</v>
      </c>
      <c r="Z1137" s="100"/>
      <c r="AA1137" s="56">
        <v>123.5</v>
      </c>
      <c r="AB1137" s="56"/>
      <c r="AC1137" s="54"/>
    </row>
    <row r="1138" spans="1:29" s="7" customFormat="1" outlineLevel="1" x14ac:dyDescent="0.25">
      <c r="A1138" s="1" t="s">
        <v>5</v>
      </c>
      <c r="B1138" s="1" t="s">
        <v>4</v>
      </c>
      <c r="C1138" s="5" t="s">
        <v>2210</v>
      </c>
      <c r="D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7" t="s">
        <v>2376</v>
      </c>
      <c r="V1138" s="18">
        <v>1</v>
      </c>
      <c r="W1138" s="47" t="s">
        <v>1019</v>
      </c>
      <c r="X1138" s="18"/>
      <c r="Y1138" s="18"/>
      <c r="Z1138" s="98" t="s">
        <v>2049</v>
      </c>
      <c r="AA1138" s="19"/>
      <c r="AB1138" s="19"/>
      <c r="AC1138" s="18"/>
    </row>
    <row r="1139" spans="1:29" s="7" customFormat="1" outlineLevel="2" x14ac:dyDescent="0.25">
      <c r="A1139" s="1" t="s">
        <v>5</v>
      </c>
      <c r="B1139" s="1" t="s">
        <v>5</v>
      </c>
      <c r="C1139" s="1" t="s">
        <v>49</v>
      </c>
      <c r="D1139" s="13" t="s">
        <v>271</v>
      </c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7" t="s">
        <v>2377</v>
      </c>
      <c r="V1139" s="18">
        <v>1</v>
      </c>
      <c r="W1139" s="47" t="s">
        <v>1019</v>
      </c>
      <c r="X1139" s="18"/>
      <c r="Y1139" s="18"/>
      <c r="Z1139" s="98"/>
      <c r="AA1139" s="19"/>
      <c r="AB1139" s="19"/>
      <c r="AC1139" s="18"/>
    </row>
    <row r="1140" spans="1:29" s="7" customFormat="1" outlineLevel="1" x14ac:dyDescent="0.25">
      <c r="A1140" s="1" t="s">
        <v>5</v>
      </c>
      <c r="B1140" s="1" t="s">
        <v>4</v>
      </c>
      <c r="C1140" s="5" t="s">
        <v>2211</v>
      </c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7" t="s">
        <v>2378</v>
      </c>
      <c r="V1140" s="18">
        <v>1</v>
      </c>
      <c r="W1140" s="47" t="s">
        <v>1019</v>
      </c>
      <c r="X1140" s="18"/>
      <c r="Y1140" s="18"/>
      <c r="Z1140" s="98" t="s">
        <v>2050</v>
      </c>
      <c r="AA1140" s="19"/>
      <c r="AB1140" s="19"/>
      <c r="AC1140" s="18"/>
    </row>
    <row r="1141" spans="1:29" s="7" customFormat="1" outlineLevel="2" x14ac:dyDescent="0.25">
      <c r="A1141" s="1" t="s">
        <v>5</v>
      </c>
      <c r="B1141" s="1" t="s">
        <v>5</v>
      </c>
      <c r="C1141" s="1" t="s">
        <v>49</v>
      </c>
      <c r="D1141" s="13" t="s">
        <v>272</v>
      </c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7" t="s">
        <v>2379</v>
      </c>
      <c r="V1141" s="18">
        <v>1</v>
      </c>
      <c r="W1141" s="47" t="s">
        <v>1019</v>
      </c>
      <c r="X1141" s="18"/>
      <c r="Y1141" s="18"/>
      <c r="Z1141" s="98"/>
      <c r="AA1141" s="19"/>
      <c r="AB1141" s="19"/>
      <c r="AC1141" s="18"/>
    </row>
    <row r="1142" spans="1:29" s="7" customFormat="1" outlineLevel="1" x14ac:dyDescent="0.25">
      <c r="A1142" s="1" t="s">
        <v>5</v>
      </c>
      <c r="B1142" s="1" t="s">
        <v>4</v>
      </c>
      <c r="C1142" s="5" t="s">
        <v>2212</v>
      </c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7" t="s">
        <v>2380</v>
      </c>
      <c r="V1142" s="18">
        <v>1</v>
      </c>
      <c r="W1142" s="47" t="s">
        <v>1019</v>
      </c>
      <c r="X1142" s="18"/>
      <c r="Y1142" s="18"/>
      <c r="Z1142" s="98" t="s">
        <v>2079</v>
      </c>
      <c r="AA1142" s="19"/>
      <c r="AB1142" s="19"/>
      <c r="AC1142" s="18"/>
    </row>
    <row r="1143" spans="1:29" s="7" customFormat="1" outlineLevel="2" x14ac:dyDescent="0.25">
      <c r="A1143" s="1" t="s">
        <v>5</v>
      </c>
      <c r="B1143" s="1" t="s">
        <v>5</v>
      </c>
      <c r="C1143" s="1" t="s">
        <v>49</v>
      </c>
      <c r="D1143" s="13" t="s">
        <v>273</v>
      </c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7" t="s">
        <v>2381</v>
      </c>
      <c r="V1143" s="18">
        <v>1</v>
      </c>
      <c r="W1143" s="47" t="s">
        <v>1019</v>
      </c>
      <c r="X1143" s="18"/>
      <c r="Y1143" s="18"/>
      <c r="Z1143" s="98"/>
      <c r="AA1143" s="19"/>
      <c r="AB1143" s="19"/>
      <c r="AC1143" s="18"/>
    </row>
    <row r="1144" spans="1:29" s="7" customFormat="1" outlineLevel="1" x14ac:dyDescent="0.25">
      <c r="A1144" s="1" t="s">
        <v>5</v>
      </c>
      <c r="B1144" s="1" t="s">
        <v>4</v>
      </c>
      <c r="C1144" s="5" t="s">
        <v>2213</v>
      </c>
      <c r="D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7" t="s">
        <v>2382</v>
      </c>
      <c r="V1144" s="18">
        <v>1</v>
      </c>
      <c r="W1144" s="47" t="s">
        <v>1019</v>
      </c>
      <c r="X1144" s="18"/>
      <c r="Y1144" s="18"/>
      <c r="Z1144" s="98" t="s">
        <v>2078</v>
      </c>
      <c r="AA1144" s="19"/>
      <c r="AB1144" s="19"/>
      <c r="AC1144" s="18"/>
    </row>
    <row r="1145" spans="1:29" s="7" customFormat="1" outlineLevel="2" x14ac:dyDescent="0.25">
      <c r="A1145" s="1" t="s">
        <v>5</v>
      </c>
      <c r="B1145" s="1" t="s">
        <v>5</v>
      </c>
      <c r="C1145" s="1" t="s">
        <v>49</v>
      </c>
      <c r="D1145" s="13" t="s">
        <v>274</v>
      </c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7" t="s">
        <v>2383</v>
      </c>
      <c r="V1145" s="18">
        <v>1</v>
      </c>
      <c r="W1145" s="47" t="s">
        <v>1019</v>
      </c>
      <c r="X1145" s="18"/>
      <c r="Y1145" s="18"/>
      <c r="Z1145" s="98"/>
      <c r="AA1145" s="19"/>
      <c r="AB1145" s="19"/>
      <c r="AC1145" s="18"/>
    </row>
    <row r="1146" spans="1:29" s="7" customFormat="1" outlineLevel="1" x14ac:dyDescent="0.25">
      <c r="A1146" s="1" t="s">
        <v>5</v>
      </c>
      <c r="B1146" s="1" t="s">
        <v>49</v>
      </c>
      <c r="C1146" s="5" t="s">
        <v>2209</v>
      </c>
      <c r="D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7" t="s">
        <v>2384</v>
      </c>
      <c r="V1146" s="18">
        <v>1</v>
      </c>
      <c r="W1146" s="47" t="s">
        <v>1019</v>
      </c>
      <c r="X1146" s="18" t="s">
        <v>175</v>
      </c>
      <c r="Y1146" s="18"/>
      <c r="Z1146" s="98"/>
      <c r="AA1146" s="19"/>
      <c r="AB1146" s="19"/>
      <c r="AC1146" s="18"/>
    </row>
    <row r="1147" spans="1:29" s="7" customFormat="1" outlineLevel="3" x14ac:dyDescent="0.25">
      <c r="A1147" s="1" t="s">
        <v>5</v>
      </c>
      <c r="B1147" s="1"/>
      <c r="C1147" s="1" t="s">
        <v>4</v>
      </c>
      <c r="D1147" s="13" t="s">
        <v>951</v>
      </c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7" t="s">
        <v>2385</v>
      </c>
      <c r="V1147" s="18">
        <v>1</v>
      </c>
      <c r="W1147" s="47" t="s">
        <v>1019</v>
      </c>
      <c r="X1147" s="18"/>
      <c r="Y1147" s="21"/>
      <c r="Z1147" s="98"/>
      <c r="AA1147" s="19"/>
      <c r="AB1147" s="19"/>
      <c r="AC1147" s="18"/>
    </row>
    <row r="1148" spans="1:29" s="7" customFormat="1" outlineLevel="3" x14ac:dyDescent="0.25">
      <c r="A1148" s="1" t="s">
        <v>5</v>
      </c>
      <c r="B1148" s="1"/>
      <c r="C1148" s="1" t="s">
        <v>4</v>
      </c>
      <c r="D1148" s="13" t="s">
        <v>122</v>
      </c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7">
        <v>70002634</v>
      </c>
      <c r="V1148" s="18">
        <v>1</v>
      </c>
      <c r="W1148" s="47" t="s">
        <v>1019</v>
      </c>
      <c r="X1148" s="18" t="s">
        <v>123</v>
      </c>
      <c r="Y1148" s="21" t="s">
        <v>124</v>
      </c>
      <c r="Z1148" s="98"/>
      <c r="AA1148" s="19">
        <v>2664.62</v>
      </c>
      <c r="AB1148" s="19"/>
      <c r="AC1148" s="18"/>
    </row>
    <row r="1149" spans="1:29" s="7" customFormat="1" outlineLevel="3" x14ac:dyDescent="0.25">
      <c r="A1149" s="1" t="s">
        <v>5</v>
      </c>
      <c r="B1149" s="1"/>
      <c r="C1149" s="1" t="s">
        <v>4</v>
      </c>
      <c r="D1149" s="13" t="s">
        <v>1929</v>
      </c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7" t="s">
        <v>16</v>
      </c>
      <c r="V1149" s="18">
        <v>1</v>
      </c>
      <c r="W1149" s="47" t="s">
        <v>1019</v>
      </c>
      <c r="X1149" s="18" t="s">
        <v>8</v>
      </c>
      <c r="Y1149" s="21" t="s">
        <v>17</v>
      </c>
      <c r="Z1149" s="98"/>
      <c r="AA1149" s="19">
        <v>272</v>
      </c>
      <c r="AB1149" s="19"/>
      <c r="AC1149" s="18"/>
    </row>
    <row r="1150" spans="1:29" s="7" customFormat="1" outlineLevel="3" x14ac:dyDescent="0.25">
      <c r="A1150" s="1" t="s">
        <v>5</v>
      </c>
      <c r="B1150" s="1"/>
      <c r="C1150" s="1" t="s">
        <v>4</v>
      </c>
      <c r="D1150" s="13" t="s">
        <v>1930</v>
      </c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7" t="s">
        <v>21</v>
      </c>
      <c r="V1150" s="18">
        <v>1</v>
      </c>
      <c r="W1150" s="47" t="s">
        <v>1019</v>
      </c>
      <c r="X1150" s="18" t="s">
        <v>8</v>
      </c>
      <c r="Y1150" s="21" t="s">
        <v>22</v>
      </c>
      <c r="Z1150" s="98"/>
      <c r="AA1150" s="19">
        <v>183.33</v>
      </c>
      <c r="AB1150" s="19"/>
      <c r="AC1150" s="18"/>
    </row>
    <row r="1151" spans="1:29" s="7" customFormat="1" outlineLevel="3" x14ac:dyDescent="0.25">
      <c r="A1151" s="50" t="s">
        <v>5</v>
      </c>
      <c r="B1151" s="50"/>
      <c r="C1151" s="50" t="s">
        <v>49</v>
      </c>
      <c r="D1151" s="52" t="s">
        <v>1923</v>
      </c>
      <c r="F1151" s="58"/>
      <c r="G1151" s="52"/>
      <c r="H1151" s="52"/>
      <c r="I1151" s="52"/>
      <c r="J1151" s="52"/>
      <c r="K1151" s="52"/>
      <c r="L1151" s="52"/>
      <c r="M1151" s="52"/>
      <c r="N1151" s="52"/>
      <c r="O1151" s="52"/>
      <c r="P1151" s="52"/>
      <c r="Q1151" s="52"/>
      <c r="R1151" s="52"/>
      <c r="S1151" s="52"/>
      <c r="T1151" s="58"/>
      <c r="U1151" s="53"/>
      <c r="V1151" s="54">
        <v>0.04</v>
      </c>
      <c r="W1151" s="55" t="s">
        <v>1018</v>
      </c>
      <c r="X1151" s="54"/>
      <c r="Y1151" s="60"/>
      <c r="Z1151" s="100"/>
      <c r="AA1151" s="56"/>
      <c r="AB1151" s="56"/>
      <c r="AC1151" s="54"/>
    </row>
    <row r="1152" spans="1:29" s="7" customFormat="1" x14ac:dyDescent="0.25">
      <c r="A1152" s="86" t="s">
        <v>4</v>
      </c>
      <c r="B1152" s="87" t="s">
        <v>2181</v>
      </c>
      <c r="C1152" s="88"/>
      <c r="D1152" s="88"/>
      <c r="E1152" s="88"/>
      <c r="F1152" s="88"/>
      <c r="G1152" s="88"/>
      <c r="H1152" s="88"/>
      <c r="I1152" s="88"/>
      <c r="J1152" s="88"/>
      <c r="K1152" s="88"/>
      <c r="L1152" s="88"/>
      <c r="M1152" s="88"/>
      <c r="N1152" s="88"/>
      <c r="O1152" s="88"/>
      <c r="P1152" s="88"/>
      <c r="Q1152" s="88"/>
      <c r="R1152" s="88"/>
      <c r="S1152" s="88"/>
      <c r="T1152" s="88"/>
      <c r="U1152" s="53" t="s">
        <v>2386</v>
      </c>
      <c r="V1152" s="89">
        <v>1</v>
      </c>
      <c r="W1152" s="90" t="s">
        <v>1019</v>
      </c>
      <c r="X1152" s="89" t="s">
        <v>1947</v>
      </c>
      <c r="Y1152" s="89"/>
      <c r="Z1152" s="101" t="s">
        <v>2013</v>
      </c>
      <c r="AA1152" s="91"/>
      <c r="AB1152" s="91"/>
      <c r="AC1152" s="92" t="s">
        <v>1038</v>
      </c>
    </row>
    <row r="1153" spans="1:29" s="7" customFormat="1" outlineLevel="1" collapsed="1" x14ac:dyDescent="0.25">
      <c r="A1153" s="86" t="s">
        <v>5</v>
      </c>
      <c r="B1153" s="86" t="s">
        <v>4</v>
      </c>
      <c r="C1153" s="87" t="s">
        <v>2182</v>
      </c>
      <c r="D1153" s="88"/>
      <c r="E1153" s="88"/>
      <c r="F1153" s="88"/>
      <c r="G1153" s="88"/>
      <c r="H1153" s="88"/>
      <c r="I1153" s="88"/>
      <c r="J1153" s="88"/>
      <c r="K1153" s="88"/>
      <c r="L1153" s="88"/>
      <c r="M1153" s="88"/>
      <c r="N1153" s="88"/>
      <c r="O1153" s="88"/>
      <c r="P1153" s="88"/>
      <c r="Q1153" s="88"/>
      <c r="R1153" s="88"/>
      <c r="S1153" s="88"/>
      <c r="T1153" s="88"/>
      <c r="U1153" s="53" t="s">
        <v>2387</v>
      </c>
      <c r="V1153" s="89">
        <v>1</v>
      </c>
      <c r="W1153" s="90" t="s">
        <v>1019</v>
      </c>
      <c r="X1153" s="89" t="s">
        <v>1947</v>
      </c>
      <c r="Y1153" s="89"/>
      <c r="Z1153" s="101" t="s">
        <v>2014</v>
      </c>
      <c r="AA1153" s="91"/>
      <c r="AB1153" s="91"/>
      <c r="AC1153" s="89"/>
    </row>
    <row r="1154" spans="1:29" s="7" customFormat="1" outlineLevel="1" collapsed="1" x14ac:dyDescent="0.25">
      <c r="A1154" s="86" t="s">
        <v>5</v>
      </c>
      <c r="B1154" s="86" t="s">
        <v>4</v>
      </c>
      <c r="C1154" s="88" t="s">
        <v>2167</v>
      </c>
      <c r="D1154" s="88"/>
      <c r="E1154" s="88"/>
      <c r="F1154" s="88"/>
      <c r="G1154" s="88"/>
      <c r="H1154" s="88"/>
      <c r="I1154" s="88"/>
      <c r="J1154" s="88"/>
      <c r="K1154" s="88"/>
      <c r="L1154" s="88"/>
      <c r="M1154" s="88"/>
      <c r="N1154" s="88"/>
      <c r="O1154" s="88"/>
      <c r="P1154" s="88"/>
      <c r="Q1154" s="88"/>
      <c r="R1154" s="88"/>
      <c r="S1154" s="88"/>
      <c r="T1154" s="93"/>
      <c r="U1154" s="53" t="s">
        <v>2388</v>
      </c>
      <c r="V1154" s="89">
        <v>1</v>
      </c>
      <c r="W1154" s="90" t="s">
        <v>1019</v>
      </c>
      <c r="X1154" s="89" t="s">
        <v>1947</v>
      </c>
      <c r="Y1154" s="89"/>
      <c r="Z1154" s="101" t="s">
        <v>2015</v>
      </c>
      <c r="AA1154" s="91"/>
      <c r="AB1154" s="91"/>
      <c r="AC1154" s="89"/>
    </row>
    <row r="1155" spans="1:29" s="7" customFormat="1" outlineLevel="1" collapsed="1" x14ac:dyDescent="0.25">
      <c r="A1155" s="86" t="s">
        <v>5</v>
      </c>
      <c r="B1155" s="86" t="s">
        <v>4</v>
      </c>
      <c r="C1155" s="88" t="s">
        <v>2168</v>
      </c>
      <c r="D1155" s="88"/>
      <c r="E1155" s="88"/>
      <c r="F1155" s="88"/>
      <c r="G1155" s="88"/>
      <c r="H1155" s="88"/>
      <c r="I1155" s="88"/>
      <c r="J1155" s="88"/>
      <c r="K1155" s="88"/>
      <c r="L1155" s="88"/>
      <c r="M1155" s="88"/>
      <c r="N1155" s="88"/>
      <c r="O1155" s="88"/>
      <c r="P1155" s="88"/>
      <c r="Q1155" s="88"/>
      <c r="R1155" s="88"/>
      <c r="S1155" s="88"/>
      <c r="T1155" s="93"/>
      <c r="U1155" s="53" t="s">
        <v>2389</v>
      </c>
      <c r="V1155" s="89">
        <v>1</v>
      </c>
      <c r="W1155" s="90" t="s">
        <v>1019</v>
      </c>
      <c r="X1155" s="89" t="s">
        <v>1947</v>
      </c>
      <c r="Y1155" s="89"/>
      <c r="Z1155" s="101" t="s">
        <v>2016</v>
      </c>
      <c r="AA1155" s="91"/>
      <c r="AB1155" s="91"/>
      <c r="AC1155" s="89"/>
    </row>
    <row r="1156" spans="1:29" s="7" customFormat="1" outlineLevel="1" collapsed="1" x14ac:dyDescent="0.25">
      <c r="A1156" s="86" t="s">
        <v>5</v>
      </c>
      <c r="B1156" s="86" t="s">
        <v>4</v>
      </c>
      <c r="C1156" s="88" t="s">
        <v>2169</v>
      </c>
      <c r="D1156" s="88"/>
      <c r="E1156" s="88"/>
      <c r="F1156" s="88"/>
      <c r="G1156" s="88"/>
      <c r="H1156" s="88"/>
      <c r="I1156" s="88"/>
      <c r="J1156" s="88"/>
      <c r="K1156" s="88"/>
      <c r="L1156" s="88"/>
      <c r="M1156" s="88"/>
      <c r="N1156" s="88"/>
      <c r="O1156" s="88"/>
      <c r="P1156" s="88"/>
      <c r="Q1156" s="88"/>
      <c r="R1156" s="88"/>
      <c r="S1156" s="88"/>
      <c r="T1156" s="93"/>
      <c r="U1156" s="53" t="s">
        <v>2390</v>
      </c>
      <c r="V1156" s="89">
        <v>1</v>
      </c>
      <c r="W1156" s="90" t="s">
        <v>1019</v>
      </c>
      <c r="X1156" s="89" t="s">
        <v>1947</v>
      </c>
      <c r="Y1156" s="89"/>
      <c r="Z1156" s="101" t="s">
        <v>2017</v>
      </c>
      <c r="AA1156" s="91"/>
      <c r="AB1156" s="91"/>
      <c r="AC1156" s="89"/>
    </row>
    <row r="1157" spans="1:29" s="7" customFormat="1" outlineLevel="1" collapsed="1" x14ac:dyDescent="0.25">
      <c r="A1157" s="86" t="s">
        <v>5</v>
      </c>
      <c r="B1157" s="86" t="s">
        <v>4</v>
      </c>
      <c r="C1157" s="88" t="s">
        <v>2170</v>
      </c>
      <c r="D1157" s="88"/>
      <c r="E1157" s="88"/>
      <c r="F1157" s="88"/>
      <c r="G1157" s="88"/>
      <c r="H1157" s="88"/>
      <c r="I1157" s="88"/>
      <c r="J1157" s="88"/>
      <c r="K1157" s="88"/>
      <c r="L1157" s="88"/>
      <c r="M1157" s="88"/>
      <c r="N1157" s="88"/>
      <c r="O1157" s="88"/>
      <c r="P1157" s="88"/>
      <c r="Q1157" s="88"/>
      <c r="R1157" s="88"/>
      <c r="S1157" s="88"/>
      <c r="T1157" s="93"/>
      <c r="U1157" s="53" t="s">
        <v>2391</v>
      </c>
      <c r="V1157" s="89">
        <v>1</v>
      </c>
      <c r="W1157" s="90" t="s">
        <v>1019</v>
      </c>
      <c r="X1157" s="89" t="s">
        <v>1947</v>
      </c>
      <c r="Y1157" s="89"/>
      <c r="Z1157" s="101" t="s">
        <v>2018</v>
      </c>
      <c r="AA1157" s="91"/>
      <c r="AB1157" s="91"/>
      <c r="AC1157" s="89"/>
    </row>
    <row r="1158" spans="1:29" s="7" customFormat="1" outlineLevel="1" x14ac:dyDescent="0.25">
      <c r="A1158" s="86" t="s">
        <v>5</v>
      </c>
      <c r="B1158" s="86" t="s">
        <v>4</v>
      </c>
      <c r="C1158" s="88" t="s">
        <v>2171</v>
      </c>
      <c r="D1158" s="88"/>
      <c r="E1158" s="88"/>
      <c r="F1158" s="88"/>
      <c r="G1158" s="88"/>
      <c r="H1158" s="88"/>
      <c r="I1158" s="88"/>
      <c r="J1158" s="88"/>
      <c r="K1158" s="88"/>
      <c r="L1158" s="88"/>
      <c r="M1158" s="88"/>
      <c r="N1158" s="88"/>
      <c r="O1158" s="88"/>
      <c r="P1158" s="88"/>
      <c r="Q1158" s="88"/>
      <c r="R1158" s="88"/>
      <c r="S1158" s="88"/>
      <c r="T1158" s="93"/>
      <c r="U1158" s="53" t="s">
        <v>2392</v>
      </c>
      <c r="V1158" s="89">
        <v>1</v>
      </c>
      <c r="W1158" s="90" t="s">
        <v>1019</v>
      </c>
      <c r="X1158" s="89" t="s">
        <v>1947</v>
      </c>
      <c r="Y1158" s="89"/>
      <c r="Z1158" s="101" t="s">
        <v>2019</v>
      </c>
      <c r="AA1158" s="91"/>
      <c r="AB1158" s="91"/>
      <c r="AC1158" s="89"/>
    </row>
    <row r="1159" spans="1:29" s="7" customFormat="1" outlineLevel="1" x14ac:dyDescent="0.25">
      <c r="A1159" s="86" t="s">
        <v>5</v>
      </c>
      <c r="B1159" s="86" t="s">
        <v>49</v>
      </c>
      <c r="C1159" s="88" t="s">
        <v>2172</v>
      </c>
      <c r="D1159" s="88"/>
      <c r="E1159" s="88"/>
      <c r="F1159" s="88"/>
      <c r="G1159" s="88"/>
      <c r="H1159" s="88"/>
      <c r="I1159" s="88"/>
      <c r="J1159" s="88"/>
      <c r="K1159" s="88"/>
      <c r="L1159" s="88"/>
      <c r="M1159" s="88"/>
      <c r="N1159" s="88"/>
      <c r="O1159" s="88"/>
      <c r="P1159" s="88"/>
      <c r="Q1159" s="88"/>
      <c r="R1159" s="88"/>
      <c r="S1159" s="88"/>
      <c r="T1159" s="93"/>
      <c r="U1159" s="53" t="s">
        <v>2393</v>
      </c>
      <c r="V1159" s="89">
        <v>1</v>
      </c>
      <c r="W1159" s="90" t="s">
        <v>1019</v>
      </c>
      <c r="X1159" s="89" t="s">
        <v>1947</v>
      </c>
      <c r="Y1159" s="89"/>
      <c r="Z1159" s="101" t="s">
        <v>2020</v>
      </c>
      <c r="AA1159" s="91"/>
      <c r="AB1159" s="91"/>
      <c r="AC1159" s="89"/>
    </row>
    <row r="1160" spans="1:29" s="7" customFormat="1" x14ac:dyDescent="0.25">
      <c r="A1160" s="86" t="s">
        <v>4</v>
      </c>
      <c r="B1160" s="87" t="s">
        <v>2183</v>
      </c>
      <c r="C1160" s="88"/>
      <c r="D1160" s="88"/>
      <c r="E1160" s="88"/>
      <c r="F1160" s="88"/>
      <c r="G1160" s="88"/>
      <c r="H1160" s="88"/>
      <c r="I1160" s="88"/>
      <c r="J1160" s="88"/>
      <c r="K1160" s="88"/>
      <c r="L1160" s="88"/>
      <c r="M1160" s="88"/>
      <c r="N1160" s="88"/>
      <c r="O1160" s="88"/>
      <c r="P1160" s="88"/>
      <c r="Q1160" s="88"/>
      <c r="R1160" s="88"/>
      <c r="S1160" s="88"/>
      <c r="T1160" s="88"/>
      <c r="U1160" s="53" t="s">
        <v>2394</v>
      </c>
      <c r="V1160" s="89">
        <v>1</v>
      </c>
      <c r="W1160" s="90" t="s">
        <v>1019</v>
      </c>
      <c r="X1160" s="89" t="s">
        <v>1947</v>
      </c>
      <c r="Y1160" s="89"/>
      <c r="Z1160" s="101" t="s">
        <v>2051</v>
      </c>
      <c r="AA1160" s="91"/>
      <c r="AB1160" s="91"/>
      <c r="AC1160" s="92" t="s">
        <v>1038</v>
      </c>
    </row>
    <row r="1161" spans="1:29" s="7" customFormat="1" outlineLevel="1" collapsed="1" x14ac:dyDescent="0.25">
      <c r="A1161" s="86" t="s">
        <v>5</v>
      </c>
      <c r="B1161" s="86" t="s">
        <v>49</v>
      </c>
      <c r="C1161" s="87" t="s">
        <v>2184</v>
      </c>
      <c r="D1161" s="88"/>
      <c r="E1161" s="88"/>
      <c r="F1161" s="88"/>
      <c r="G1161" s="88"/>
      <c r="H1161" s="88"/>
      <c r="I1161" s="88"/>
      <c r="J1161" s="88"/>
      <c r="K1161" s="88"/>
      <c r="L1161" s="88"/>
      <c r="M1161" s="88"/>
      <c r="N1161" s="88"/>
      <c r="O1161" s="88"/>
      <c r="P1161" s="88"/>
      <c r="Q1161" s="88"/>
      <c r="R1161" s="88"/>
      <c r="S1161" s="88"/>
      <c r="T1161" s="88"/>
      <c r="U1161" s="53" t="s">
        <v>2395</v>
      </c>
      <c r="V1161" s="89">
        <v>1</v>
      </c>
      <c r="W1161" s="90" t="s">
        <v>1019</v>
      </c>
      <c r="X1161" s="89" t="s">
        <v>1947</v>
      </c>
      <c r="Y1161" s="89"/>
      <c r="Z1161" s="101" t="s">
        <v>2052</v>
      </c>
      <c r="AA1161" s="91"/>
      <c r="AB1161" s="91"/>
      <c r="AC1161" s="89"/>
    </row>
    <row r="1162" spans="1:29" s="7" customFormat="1" x14ac:dyDescent="0.25">
      <c r="A1162" s="86" t="s">
        <v>4</v>
      </c>
      <c r="B1162" s="87" t="s">
        <v>2185</v>
      </c>
      <c r="C1162" s="88"/>
      <c r="D1162" s="88"/>
      <c r="E1162" s="88"/>
      <c r="F1162" s="88"/>
      <c r="G1162" s="88"/>
      <c r="H1162" s="88"/>
      <c r="I1162" s="88"/>
      <c r="J1162" s="88"/>
      <c r="K1162" s="88"/>
      <c r="L1162" s="88"/>
      <c r="M1162" s="88"/>
      <c r="N1162" s="88"/>
      <c r="O1162" s="88"/>
      <c r="P1162" s="88"/>
      <c r="Q1162" s="88"/>
      <c r="R1162" s="88"/>
      <c r="S1162" s="88"/>
      <c r="T1162" s="88"/>
      <c r="U1162" s="53" t="s">
        <v>2396</v>
      </c>
      <c r="V1162" s="89">
        <v>1</v>
      </c>
      <c r="W1162" s="90" t="s">
        <v>1019</v>
      </c>
      <c r="X1162" s="89" t="s">
        <v>1947</v>
      </c>
      <c r="Y1162" s="89"/>
      <c r="Z1162" s="101" t="s">
        <v>2021</v>
      </c>
      <c r="AA1162" s="91"/>
      <c r="AB1162" s="91"/>
      <c r="AC1162" s="92" t="s">
        <v>1037</v>
      </c>
    </row>
    <row r="1163" spans="1:29" s="7" customFormat="1" outlineLevel="1" collapsed="1" x14ac:dyDescent="0.25">
      <c r="A1163" s="86" t="s">
        <v>5</v>
      </c>
      <c r="B1163" s="86" t="s">
        <v>49</v>
      </c>
      <c r="C1163" s="87" t="s">
        <v>2186</v>
      </c>
      <c r="D1163" s="88"/>
      <c r="E1163" s="88"/>
      <c r="F1163" s="88"/>
      <c r="G1163" s="88"/>
      <c r="H1163" s="88"/>
      <c r="I1163" s="88"/>
      <c r="J1163" s="88"/>
      <c r="K1163" s="88"/>
      <c r="L1163" s="88"/>
      <c r="M1163" s="88"/>
      <c r="N1163" s="88"/>
      <c r="O1163" s="88"/>
      <c r="P1163" s="88"/>
      <c r="Q1163" s="88"/>
      <c r="R1163" s="88"/>
      <c r="S1163" s="88"/>
      <c r="T1163" s="88"/>
      <c r="U1163" s="53" t="s">
        <v>2397</v>
      </c>
      <c r="V1163" s="89">
        <v>1</v>
      </c>
      <c r="W1163" s="90" t="s">
        <v>1019</v>
      </c>
      <c r="X1163" s="89" t="s">
        <v>1947</v>
      </c>
      <c r="Y1163" s="89"/>
      <c r="Z1163" s="101" t="s">
        <v>2022</v>
      </c>
      <c r="AA1163" s="91"/>
      <c r="AB1163" s="91"/>
      <c r="AC1163" s="89"/>
    </row>
    <row r="1164" spans="1:29" s="7" customFormat="1" x14ac:dyDescent="0.25">
      <c r="A1164" s="86" t="s">
        <v>4</v>
      </c>
      <c r="B1164" s="87" t="s">
        <v>2187</v>
      </c>
      <c r="C1164" s="88"/>
      <c r="D1164" s="88"/>
      <c r="E1164" s="88"/>
      <c r="F1164" s="88"/>
      <c r="G1164" s="88"/>
      <c r="H1164" s="88"/>
      <c r="I1164" s="88"/>
      <c r="J1164" s="88"/>
      <c r="K1164" s="88"/>
      <c r="L1164" s="88"/>
      <c r="M1164" s="88"/>
      <c r="N1164" s="88"/>
      <c r="O1164" s="88"/>
      <c r="P1164" s="88"/>
      <c r="Q1164" s="88"/>
      <c r="R1164" s="88"/>
      <c r="S1164" s="88"/>
      <c r="T1164" s="88"/>
      <c r="U1164" s="53" t="s">
        <v>2398</v>
      </c>
      <c r="V1164" s="89">
        <v>1</v>
      </c>
      <c r="W1164" s="90" t="s">
        <v>1019</v>
      </c>
      <c r="X1164" s="89" t="s">
        <v>1947</v>
      </c>
      <c r="Y1164" s="89"/>
      <c r="Z1164" s="101" t="s">
        <v>2053</v>
      </c>
      <c r="AA1164" s="91"/>
      <c r="AB1164" s="91"/>
      <c r="AC1164" s="92" t="s">
        <v>1037</v>
      </c>
    </row>
    <row r="1165" spans="1:29" s="7" customFormat="1" outlineLevel="1" collapsed="1" x14ac:dyDescent="0.25">
      <c r="A1165" s="86" t="s">
        <v>5</v>
      </c>
      <c r="B1165" s="86" t="s">
        <v>4</v>
      </c>
      <c r="C1165" s="87" t="s">
        <v>2188</v>
      </c>
      <c r="D1165" s="88"/>
      <c r="E1165" s="88"/>
      <c r="F1165" s="88"/>
      <c r="G1165" s="88"/>
      <c r="H1165" s="88"/>
      <c r="I1165" s="88"/>
      <c r="J1165" s="88"/>
      <c r="K1165" s="88"/>
      <c r="L1165" s="88"/>
      <c r="M1165" s="88"/>
      <c r="N1165" s="88"/>
      <c r="O1165" s="88"/>
      <c r="P1165" s="88"/>
      <c r="Q1165" s="88"/>
      <c r="R1165" s="88"/>
      <c r="S1165" s="88"/>
      <c r="T1165" s="88"/>
      <c r="U1165" s="53" t="s">
        <v>2399</v>
      </c>
      <c r="V1165" s="89">
        <v>1</v>
      </c>
      <c r="W1165" s="90" t="s">
        <v>1019</v>
      </c>
      <c r="X1165" s="89" t="s">
        <v>1947</v>
      </c>
      <c r="Y1165" s="89"/>
      <c r="Z1165" s="101" t="s">
        <v>2054</v>
      </c>
      <c r="AA1165" s="91"/>
      <c r="AB1165" s="91"/>
      <c r="AC1165" s="89"/>
    </row>
    <row r="1166" spans="1:29" s="7" customFormat="1" outlineLevel="1" collapsed="1" x14ac:dyDescent="0.25">
      <c r="A1166" s="50" t="s">
        <v>5</v>
      </c>
      <c r="B1166" s="50" t="s">
        <v>4</v>
      </c>
      <c r="C1166" s="51" t="s">
        <v>2071</v>
      </c>
      <c r="D1166" s="52"/>
      <c r="E1166" s="52"/>
      <c r="F1166" s="52"/>
      <c r="G1166" s="58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  <c r="R1166" s="52"/>
      <c r="S1166" s="52"/>
      <c r="T1166" s="52"/>
      <c r="U1166" s="53" t="s">
        <v>2400</v>
      </c>
      <c r="V1166" s="54">
        <v>1</v>
      </c>
      <c r="W1166" s="55" t="s">
        <v>1019</v>
      </c>
      <c r="X1166" s="54"/>
      <c r="Y1166" s="54"/>
      <c r="Z1166" s="100" t="s">
        <v>2077</v>
      </c>
      <c r="AA1166" s="56"/>
      <c r="AB1166" s="56"/>
      <c r="AC1166" s="54"/>
    </row>
    <row r="1167" spans="1:29" s="7" customFormat="1" outlineLevel="1" collapsed="1" x14ac:dyDescent="0.25">
      <c r="A1167" s="50" t="s">
        <v>5</v>
      </c>
      <c r="B1167" s="50" t="s">
        <v>4</v>
      </c>
      <c r="C1167" s="51" t="s">
        <v>2214</v>
      </c>
      <c r="D1167" s="52"/>
      <c r="E1167" s="58"/>
      <c r="F1167" s="58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  <c r="R1167" s="52"/>
      <c r="S1167" s="52"/>
      <c r="T1167" s="52"/>
      <c r="U1167" s="53" t="s">
        <v>2401</v>
      </c>
      <c r="V1167" s="54">
        <v>1</v>
      </c>
      <c r="W1167" s="55" t="s">
        <v>1019</v>
      </c>
      <c r="X1167" s="54"/>
      <c r="Y1167" s="54"/>
      <c r="Z1167" s="100" t="s">
        <v>2080</v>
      </c>
      <c r="AA1167" s="56"/>
      <c r="AB1167" s="56"/>
      <c r="AC1167" s="54"/>
    </row>
    <row r="1168" spans="1:29" s="7" customFormat="1" outlineLevel="1" collapsed="1" x14ac:dyDescent="0.25">
      <c r="A1168" s="50" t="s">
        <v>5</v>
      </c>
      <c r="B1168" s="50" t="s">
        <v>4</v>
      </c>
      <c r="C1168" s="51" t="s">
        <v>2215</v>
      </c>
      <c r="D1168" s="58"/>
      <c r="E1168" s="58"/>
      <c r="F1168" s="58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  <c r="R1168" s="52"/>
      <c r="S1168" s="52"/>
      <c r="T1168" s="52"/>
      <c r="U1168" s="53" t="s">
        <v>2402</v>
      </c>
      <c r="V1168" s="54">
        <v>1</v>
      </c>
      <c r="W1168" s="55" t="s">
        <v>1019</v>
      </c>
      <c r="X1168" s="54"/>
      <c r="Y1168" s="54"/>
      <c r="Z1168" s="100" t="s">
        <v>2081</v>
      </c>
      <c r="AA1168" s="56"/>
      <c r="AB1168" s="56"/>
      <c r="AC1168" s="54"/>
    </row>
    <row r="1169" spans="1:29" s="7" customFormat="1" outlineLevel="1" collapsed="1" x14ac:dyDescent="0.25">
      <c r="A1169" s="50" t="s">
        <v>5</v>
      </c>
      <c r="B1169" s="50" t="s">
        <v>4</v>
      </c>
      <c r="C1169" s="51" t="s">
        <v>2216</v>
      </c>
      <c r="D1169" s="58"/>
      <c r="E1169" s="58"/>
      <c r="F1169" s="58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  <c r="R1169" s="52"/>
      <c r="S1169" s="52"/>
      <c r="T1169" s="52"/>
      <c r="U1169" s="53" t="s">
        <v>2403</v>
      </c>
      <c r="V1169" s="54">
        <v>1</v>
      </c>
      <c r="W1169" s="55" t="s">
        <v>1019</v>
      </c>
      <c r="X1169" s="54"/>
      <c r="Y1169" s="54"/>
      <c r="Z1169" s="100" t="s">
        <v>2082</v>
      </c>
      <c r="AA1169" s="56"/>
      <c r="AB1169" s="56"/>
      <c r="AC1169" s="54"/>
    </row>
    <row r="1170" spans="1:29" s="7" customFormat="1" outlineLevel="1" collapsed="1" x14ac:dyDescent="0.25">
      <c r="A1170" s="50" t="s">
        <v>5</v>
      </c>
      <c r="B1170" s="50" t="s">
        <v>49</v>
      </c>
      <c r="C1170" s="51" t="s">
        <v>2217</v>
      </c>
      <c r="D1170" s="52"/>
      <c r="E1170" s="58"/>
      <c r="F1170" s="58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  <c r="R1170" s="52"/>
      <c r="S1170" s="52"/>
      <c r="T1170" s="52"/>
      <c r="U1170" s="53" t="s">
        <v>2404</v>
      </c>
      <c r="V1170" s="54">
        <v>1</v>
      </c>
      <c r="W1170" s="55" t="s">
        <v>1019</v>
      </c>
      <c r="X1170" s="54"/>
      <c r="Y1170" s="54"/>
      <c r="Z1170" s="100" t="s">
        <v>2083</v>
      </c>
      <c r="AA1170" s="56"/>
      <c r="AB1170" s="56"/>
      <c r="AC1170" s="54"/>
    </row>
    <row r="1171" spans="1:29" s="7" customFormat="1" x14ac:dyDescent="0.25">
      <c r="A1171" s="86" t="s">
        <v>4</v>
      </c>
      <c r="B1171" s="87" t="s">
        <v>2189</v>
      </c>
      <c r="C1171" s="88"/>
      <c r="D1171" s="88"/>
      <c r="E1171" s="88"/>
      <c r="F1171" s="88"/>
      <c r="G1171" s="88"/>
      <c r="H1171" s="88"/>
      <c r="I1171" s="88"/>
      <c r="J1171" s="88"/>
      <c r="K1171" s="88"/>
      <c r="L1171" s="88"/>
      <c r="M1171" s="88"/>
      <c r="N1171" s="88"/>
      <c r="O1171" s="88"/>
      <c r="P1171" s="88"/>
      <c r="Q1171" s="88"/>
      <c r="R1171" s="88"/>
      <c r="S1171" s="88"/>
      <c r="T1171" s="88"/>
      <c r="U1171" s="53" t="s">
        <v>2405</v>
      </c>
      <c r="V1171" s="89">
        <v>1</v>
      </c>
      <c r="W1171" s="90" t="s">
        <v>1019</v>
      </c>
      <c r="X1171" s="89" t="s">
        <v>1947</v>
      </c>
      <c r="Y1171" s="89"/>
      <c r="Z1171" s="101" t="s">
        <v>2024</v>
      </c>
      <c r="AA1171" s="91"/>
      <c r="AB1171" s="91"/>
      <c r="AC1171" s="92" t="s">
        <v>1039</v>
      </c>
    </row>
    <row r="1172" spans="1:29" s="7" customFormat="1" outlineLevel="1" collapsed="1" x14ac:dyDescent="0.25">
      <c r="A1172" s="86" t="s">
        <v>5</v>
      </c>
      <c r="B1172" s="86" t="s">
        <v>4</v>
      </c>
      <c r="C1172" s="87" t="s">
        <v>2190</v>
      </c>
      <c r="D1172" s="88"/>
      <c r="E1172" s="88"/>
      <c r="F1172" s="88"/>
      <c r="G1172" s="88"/>
      <c r="H1172" s="88"/>
      <c r="I1172" s="88"/>
      <c r="J1172" s="88"/>
      <c r="K1172" s="88"/>
      <c r="L1172" s="88"/>
      <c r="M1172" s="88"/>
      <c r="N1172" s="88"/>
      <c r="O1172" s="88"/>
      <c r="P1172" s="88"/>
      <c r="Q1172" s="88"/>
      <c r="R1172" s="88"/>
      <c r="S1172" s="88"/>
      <c r="T1172" s="88"/>
      <c r="U1172" s="53" t="s">
        <v>2406</v>
      </c>
      <c r="V1172" s="89">
        <v>1</v>
      </c>
      <c r="W1172" s="90" t="s">
        <v>1019</v>
      </c>
      <c r="X1172" s="89" t="s">
        <v>1947</v>
      </c>
      <c r="Y1172" s="89"/>
      <c r="Z1172" s="101" t="s">
        <v>2023</v>
      </c>
      <c r="AA1172" s="91"/>
      <c r="AB1172" s="91"/>
      <c r="AC1172" s="89"/>
    </row>
    <row r="1173" spans="1:29" s="7" customFormat="1" outlineLevel="1" collapsed="1" x14ac:dyDescent="0.25">
      <c r="A1173" s="86" t="s">
        <v>5</v>
      </c>
      <c r="B1173" s="86" t="s">
        <v>4</v>
      </c>
      <c r="C1173" s="88" t="s">
        <v>2147</v>
      </c>
      <c r="D1173" s="103"/>
      <c r="E1173" s="88"/>
      <c r="F1173" s="88"/>
      <c r="G1173" s="88"/>
      <c r="H1173" s="88"/>
      <c r="I1173" s="88"/>
      <c r="J1173" s="88"/>
      <c r="K1173" s="88"/>
      <c r="L1173" s="88"/>
      <c r="M1173" s="88"/>
      <c r="N1173" s="88"/>
      <c r="O1173" s="88"/>
      <c r="P1173" s="88"/>
      <c r="Q1173" s="88"/>
      <c r="R1173" s="88"/>
      <c r="S1173" s="88"/>
      <c r="T1173" s="93"/>
      <c r="U1173" s="107" t="s">
        <v>2407</v>
      </c>
      <c r="V1173" s="89">
        <v>1</v>
      </c>
      <c r="W1173" s="90" t="s">
        <v>1019</v>
      </c>
      <c r="X1173" s="89" t="s">
        <v>1947</v>
      </c>
      <c r="Y1173" s="94"/>
      <c r="Z1173" s="101" t="s">
        <v>2025</v>
      </c>
      <c r="AA1173" s="91"/>
      <c r="AB1173" s="91"/>
      <c r="AC1173" s="89"/>
    </row>
    <row r="1174" spans="1:29" s="7" customFormat="1" outlineLevel="1" collapsed="1" x14ac:dyDescent="0.25">
      <c r="A1174" s="86" t="s">
        <v>5</v>
      </c>
      <c r="B1174" s="86" t="s">
        <v>4</v>
      </c>
      <c r="C1174" s="88" t="s">
        <v>2148</v>
      </c>
      <c r="D1174" s="88"/>
      <c r="E1174" s="88"/>
      <c r="F1174" s="88"/>
      <c r="G1174" s="88"/>
      <c r="H1174" s="88"/>
      <c r="I1174" s="88"/>
      <c r="J1174" s="88"/>
      <c r="K1174" s="88"/>
      <c r="L1174" s="88"/>
      <c r="M1174" s="88"/>
      <c r="N1174" s="88"/>
      <c r="O1174" s="88"/>
      <c r="P1174" s="88"/>
      <c r="Q1174" s="88"/>
      <c r="R1174" s="88"/>
      <c r="S1174" s="88"/>
      <c r="T1174" s="93"/>
      <c r="U1174" s="53" t="s">
        <v>2408</v>
      </c>
      <c r="V1174" s="89">
        <v>1</v>
      </c>
      <c r="W1174" s="90" t="s">
        <v>1019</v>
      </c>
      <c r="X1174" s="89" t="s">
        <v>1947</v>
      </c>
      <c r="Y1174" s="89"/>
      <c r="Z1174" s="101" t="s">
        <v>2026</v>
      </c>
      <c r="AA1174" s="91"/>
      <c r="AB1174" s="91"/>
      <c r="AC1174" s="89"/>
    </row>
    <row r="1175" spans="1:29" s="7" customFormat="1" outlineLevel="1" collapsed="1" x14ac:dyDescent="0.25">
      <c r="A1175" s="86" t="s">
        <v>5</v>
      </c>
      <c r="B1175" s="86" t="s">
        <v>4</v>
      </c>
      <c r="C1175" s="88" t="s">
        <v>2149</v>
      </c>
      <c r="D1175" s="88"/>
      <c r="E1175" s="88"/>
      <c r="F1175" s="88"/>
      <c r="G1175" s="88"/>
      <c r="H1175" s="88"/>
      <c r="I1175" s="88"/>
      <c r="J1175" s="88"/>
      <c r="K1175" s="88"/>
      <c r="L1175" s="88"/>
      <c r="M1175" s="88"/>
      <c r="N1175" s="88"/>
      <c r="O1175" s="88"/>
      <c r="P1175" s="88"/>
      <c r="Q1175" s="88"/>
      <c r="R1175" s="88"/>
      <c r="S1175" s="88"/>
      <c r="T1175" s="93"/>
      <c r="U1175" s="107" t="s">
        <v>2409</v>
      </c>
      <c r="V1175" s="89">
        <v>1</v>
      </c>
      <c r="W1175" s="90" t="s">
        <v>1019</v>
      </c>
      <c r="X1175" s="89" t="s">
        <v>1947</v>
      </c>
      <c r="Y1175" s="89"/>
      <c r="Z1175" s="101" t="s">
        <v>2027</v>
      </c>
      <c r="AA1175" s="91"/>
      <c r="AB1175" s="91"/>
      <c r="AC1175" s="89"/>
    </row>
    <row r="1176" spans="1:29" s="7" customFormat="1" outlineLevel="1" x14ac:dyDescent="0.25">
      <c r="A1176" s="86" t="s">
        <v>5</v>
      </c>
      <c r="B1176" s="86" t="s">
        <v>4</v>
      </c>
      <c r="C1176" s="88" t="s">
        <v>2150</v>
      </c>
      <c r="D1176" s="88"/>
      <c r="E1176" s="88"/>
      <c r="F1176" s="88"/>
      <c r="G1176" s="88"/>
      <c r="H1176" s="88"/>
      <c r="I1176" s="88"/>
      <c r="J1176" s="88"/>
      <c r="K1176" s="88"/>
      <c r="L1176" s="88"/>
      <c r="M1176" s="88"/>
      <c r="N1176" s="88"/>
      <c r="O1176" s="88"/>
      <c r="P1176" s="88"/>
      <c r="Q1176" s="88"/>
      <c r="R1176" s="88"/>
      <c r="S1176" s="88"/>
      <c r="T1176" s="93"/>
      <c r="U1176" s="53" t="s">
        <v>2410</v>
      </c>
      <c r="V1176" s="89">
        <v>1</v>
      </c>
      <c r="W1176" s="90" t="s">
        <v>1019</v>
      </c>
      <c r="X1176" s="89" t="s">
        <v>1947</v>
      </c>
      <c r="Y1176" s="89"/>
      <c r="Z1176" s="101" t="s">
        <v>2028</v>
      </c>
      <c r="AA1176" s="91"/>
      <c r="AB1176" s="91"/>
      <c r="AC1176" s="89"/>
    </row>
    <row r="1177" spans="1:29" s="7" customFormat="1" outlineLevel="1" collapsed="1" x14ac:dyDescent="0.25">
      <c r="A1177" s="86" t="s">
        <v>5</v>
      </c>
      <c r="B1177" s="86" t="s">
        <v>4</v>
      </c>
      <c r="C1177" s="88" t="s">
        <v>2151</v>
      </c>
      <c r="D1177" s="88"/>
      <c r="E1177" s="88"/>
      <c r="F1177" s="88"/>
      <c r="G1177" s="88"/>
      <c r="H1177" s="88"/>
      <c r="I1177" s="88"/>
      <c r="J1177" s="88"/>
      <c r="K1177" s="88"/>
      <c r="L1177" s="88"/>
      <c r="M1177" s="88"/>
      <c r="N1177" s="88"/>
      <c r="O1177" s="88"/>
      <c r="P1177" s="88"/>
      <c r="Q1177" s="88"/>
      <c r="R1177" s="88"/>
      <c r="S1177" s="88"/>
      <c r="T1177" s="93"/>
      <c r="U1177" s="107" t="s">
        <v>2411</v>
      </c>
      <c r="V1177" s="89">
        <v>1</v>
      </c>
      <c r="W1177" s="90" t="s">
        <v>1019</v>
      </c>
      <c r="X1177" s="89" t="s">
        <v>1947</v>
      </c>
      <c r="Y1177" s="89"/>
      <c r="Z1177" s="101" t="s">
        <v>2029</v>
      </c>
      <c r="AA1177" s="91"/>
      <c r="AB1177" s="91"/>
      <c r="AC1177" s="89"/>
    </row>
    <row r="1178" spans="1:29" s="7" customFormat="1" outlineLevel="1" collapsed="1" x14ac:dyDescent="0.25">
      <c r="A1178" s="86" t="s">
        <v>5</v>
      </c>
      <c r="B1178" s="86" t="s">
        <v>4</v>
      </c>
      <c r="C1178" s="88" t="s">
        <v>2152</v>
      </c>
      <c r="D1178" s="88"/>
      <c r="E1178" s="88"/>
      <c r="F1178" s="88"/>
      <c r="G1178" s="88"/>
      <c r="H1178" s="88"/>
      <c r="I1178" s="88"/>
      <c r="J1178" s="88"/>
      <c r="K1178" s="88"/>
      <c r="L1178" s="88"/>
      <c r="M1178" s="88"/>
      <c r="N1178" s="88"/>
      <c r="O1178" s="88"/>
      <c r="P1178" s="88"/>
      <c r="Q1178" s="88"/>
      <c r="R1178" s="88"/>
      <c r="S1178" s="88"/>
      <c r="T1178" s="93"/>
      <c r="U1178" s="53" t="s">
        <v>2412</v>
      </c>
      <c r="V1178" s="89">
        <v>1</v>
      </c>
      <c r="W1178" s="90" t="s">
        <v>1019</v>
      </c>
      <c r="X1178" s="89" t="s">
        <v>1947</v>
      </c>
      <c r="Y1178" s="89"/>
      <c r="Z1178" s="101" t="s">
        <v>2030</v>
      </c>
      <c r="AA1178" s="91"/>
      <c r="AB1178" s="91"/>
      <c r="AC1178" s="89"/>
    </row>
    <row r="1179" spans="1:29" s="7" customFormat="1" outlineLevel="1" collapsed="1" x14ac:dyDescent="0.25">
      <c r="A1179" s="86" t="s">
        <v>5</v>
      </c>
      <c r="B1179" s="86" t="s">
        <v>4</v>
      </c>
      <c r="C1179" s="88" t="s">
        <v>2153</v>
      </c>
      <c r="D1179" s="88"/>
      <c r="E1179" s="88"/>
      <c r="F1179" s="88"/>
      <c r="G1179" s="88"/>
      <c r="H1179" s="88"/>
      <c r="I1179" s="88"/>
      <c r="J1179" s="88"/>
      <c r="K1179" s="88"/>
      <c r="L1179" s="88"/>
      <c r="M1179" s="88"/>
      <c r="N1179" s="88"/>
      <c r="O1179" s="88"/>
      <c r="P1179" s="88"/>
      <c r="Q1179" s="88"/>
      <c r="R1179" s="88"/>
      <c r="S1179" s="88"/>
      <c r="T1179" s="93"/>
      <c r="U1179" s="107" t="s">
        <v>2413</v>
      </c>
      <c r="V1179" s="89">
        <v>1</v>
      </c>
      <c r="W1179" s="90" t="s">
        <v>1019</v>
      </c>
      <c r="X1179" s="89" t="s">
        <v>1947</v>
      </c>
      <c r="Y1179" s="89"/>
      <c r="Z1179" s="101" t="s">
        <v>2031</v>
      </c>
      <c r="AA1179" s="91"/>
      <c r="AB1179" s="91"/>
      <c r="AC1179" s="89"/>
    </row>
    <row r="1180" spans="1:29" s="7" customFormat="1" outlineLevel="1" x14ac:dyDescent="0.25">
      <c r="A1180" s="86" t="s">
        <v>5</v>
      </c>
      <c r="B1180" s="86" t="s">
        <v>4</v>
      </c>
      <c r="C1180" s="88" t="s">
        <v>2154</v>
      </c>
      <c r="D1180" s="88"/>
      <c r="E1180" s="88"/>
      <c r="F1180" s="88"/>
      <c r="G1180" s="88"/>
      <c r="H1180" s="88"/>
      <c r="I1180" s="88"/>
      <c r="J1180" s="88"/>
      <c r="K1180" s="88"/>
      <c r="L1180" s="88"/>
      <c r="M1180" s="88"/>
      <c r="N1180" s="88"/>
      <c r="O1180" s="88"/>
      <c r="P1180" s="88"/>
      <c r="Q1180" s="88"/>
      <c r="R1180" s="88"/>
      <c r="S1180" s="88"/>
      <c r="T1180" s="93"/>
      <c r="U1180" s="53" t="s">
        <v>2414</v>
      </c>
      <c r="V1180" s="89">
        <v>1</v>
      </c>
      <c r="W1180" s="90" t="s">
        <v>1019</v>
      </c>
      <c r="X1180" s="89" t="s">
        <v>1947</v>
      </c>
      <c r="Y1180" s="89"/>
      <c r="Z1180" s="101" t="s">
        <v>2032</v>
      </c>
      <c r="AA1180" s="91"/>
      <c r="AB1180" s="91"/>
      <c r="AC1180" s="89"/>
    </row>
    <row r="1181" spans="1:29" s="7" customFormat="1" outlineLevel="1" collapsed="1" x14ac:dyDescent="0.25">
      <c r="A1181" s="86" t="s">
        <v>5</v>
      </c>
      <c r="B1181" s="86" t="s">
        <v>4</v>
      </c>
      <c r="C1181" s="88" t="s">
        <v>2155</v>
      </c>
      <c r="D1181" s="88"/>
      <c r="E1181" s="88"/>
      <c r="F1181" s="88"/>
      <c r="G1181" s="88"/>
      <c r="H1181" s="88"/>
      <c r="I1181" s="88"/>
      <c r="J1181" s="88"/>
      <c r="K1181" s="88"/>
      <c r="L1181" s="88"/>
      <c r="M1181" s="88"/>
      <c r="N1181" s="88"/>
      <c r="O1181" s="88"/>
      <c r="P1181" s="88"/>
      <c r="Q1181" s="88"/>
      <c r="R1181" s="88"/>
      <c r="S1181" s="88"/>
      <c r="T1181" s="93"/>
      <c r="U1181" s="107" t="s">
        <v>2415</v>
      </c>
      <c r="V1181" s="89">
        <v>1</v>
      </c>
      <c r="W1181" s="90" t="s">
        <v>1019</v>
      </c>
      <c r="X1181" s="89" t="s">
        <v>1947</v>
      </c>
      <c r="Y1181" s="89"/>
      <c r="Z1181" s="101" t="s">
        <v>2033</v>
      </c>
      <c r="AA1181" s="91"/>
      <c r="AB1181" s="91"/>
      <c r="AC1181" s="89"/>
    </row>
    <row r="1182" spans="1:29" s="7" customFormat="1" outlineLevel="1" collapsed="1" x14ac:dyDescent="0.25">
      <c r="A1182" s="86" t="s">
        <v>5</v>
      </c>
      <c r="B1182" s="86" t="s">
        <v>4</v>
      </c>
      <c r="C1182" s="88" t="s">
        <v>2156</v>
      </c>
      <c r="D1182" s="88"/>
      <c r="E1182" s="88"/>
      <c r="F1182" s="88"/>
      <c r="G1182" s="88"/>
      <c r="H1182" s="88"/>
      <c r="I1182" s="88"/>
      <c r="J1182" s="88"/>
      <c r="K1182" s="88"/>
      <c r="L1182" s="88"/>
      <c r="M1182" s="88"/>
      <c r="N1182" s="88"/>
      <c r="O1182" s="88"/>
      <c r="P1182" s="88"/>
      <c r="Q1182" s="88"/>
      <c r="R1182" s="88"/>
      <c r="S1182" s="88"/>
      <c r="T1182" s="93"/>
      <c r="U1182" s="53" t="s">
        <v>2416</v>
      </c>
      <c r="V1182" s="89">
        <v>1</v>
      </c>
      <c r="W1182" s="90" t="s">
        <v>1019</v>
      </c>
      <c r="X1182" s="89" t="s">
        <v>1947</v>
      </c>
      <c r="Y1182" s="89"/>
      <c r="Z1182" s="101" t="s">
        <v>2034</v>
      </c>
      <c r="AA1182" s="91"/>
      <c r="AB1182" s="91"/>
      <c r="AC1182" s="89"/>
    </row>
    <row r="1183" spans="1:29" s="7" customFormat="1" outlineLevel="1" collapsed="1" x14ac:dyDescent="0.25">
      <c r="A1183" s="86" t="s">
        <v>5</v>
      </c>
      <c r="B1183" s="86" t="s">
        <v>4</v>
      </c>
      <c r="C1183" s="88" t="s">
        <v>2157</v>
      </c>
      <c r="D1183" s="88"/>
      <c r="E1183" s="88"/>
      <c r="F1183" s="88"/>
      <c r="G1183" s="88"/>
      <c r="H1183" s="88"/>
      <c r="I1183" s="88"/>
      <c r="J1183" s="88"/>
      <c r="K1183" s="88"/>
      <c r="L1183" s="88"/>
      <c r="M1183" s="88"/>
      <c r="N1183" s="88"/>
      <c r="O1183" s="88"/>
      <c r="P1183" s="88"/>
      <c r="Q1183" s="88"/>
      <c r="R1183" s="88"/>
      <c r="S1183" s="88"/>
      <c r="T1183" s="93"/>
      <c r="U1183" s="53" t="s">
        <v>2417</v>
      </c>
      <c r="V1183" s="89">
        <v>1</v>
      </c>
      <c r="W1183" s="90" t="s">
        <v>1019</v>
      </c>
      <c r="X1183" s="89" t="s">
        <v>1947</v>
      </c>
      <c r="Y1183" s="89"/>
      <c r="Z1183" s="101" t="s">
        <v>2035</v>
      </c>
      <c r="AA1183" s="91"/>
      <c r="AB1183" s="91"/>
      <c r="AC1183" s="89"/>
    </row>
    <row r="1184" spans="1:29" s="7" customFormat="1" outlineLevel="1" collapsed="1" x14ac:dyDescent="0.25">
      <c r="A1184" s="86" t="s">
        <v>5</v>
      </c>
      <c r="B1184" s="86" t="s">
        <v>4</v>
      </c>
      <c r="C1184" s="88" t="s">
        <v>2158</v>
      </c>
      <c r="D1184" s="88"/>
      <c r="E1184" s="88"/>
      <c r="F1184" s="88"/>
      <c r="G1184" s="88"/>
      <c r="H1184" s="88"/>
      <c r="I1184" s="88"/>
      <c r="J1184" s="88"/>
      <c r="K1184" s="88"/>
      <c r="L1184" s="88"/>
      <c r="M1184" s="88"/>
      <c r="N1184" s="88"/>
      <c r="O1184" s="88"/>
      <c r="P1184" s="88"/>
      <c r="Q1184" s="88"/>
      <c r="R1184" s="88"/>
      <c r="S1184" s="88"/>
      <c r="T1184" s="93"/>
      <c r="U1184" s="53" t="s">
        <v>2418</v>
      </c>
      <c r="V1184" s="89">
        <v>1</v>
      </c>
      <c r="W1184" s="90" t="s">
        <v>1019</v>
      </c>
      <c r="X1184" s="89" t="s">
        <v>1947</v>
      </c>
      <c r="Y1184" s="89"/>
      <c r="Z1184" s="101" t="s">
        <v>2036</v>
      </c>
      <c r="AA1184" s="91"/>
      <c r="AB1184" s="91"/>
      <c r="AC1184" s="89"/>
    </row>
    <row r="1185" spans="1:29" s="7" customFormat="1" outlineLevel="1" x14ac:dyDescent="0.25">
      <c r="A1185" s="86" t="s">
        <v>5</v>
      </c>
      <c r="B1185" s="86" t="s">
        <v>4</v>
      </c>
      <c r="C1185" s="88" t="s">
        <v>2159</v>
      </c>
      <c r="D1185" s="88"/>
      <c r="E1185" s="88"/>
      <c r="F1185" s="88"/>
      <c r="G1185" s="88"/>
      <c r="H1185" s="88"/>
      <c r="I1185" s="88"/>
      <c r="J1185" s="88"/>
      <c r="K1185" s="88"/>
      <c r="L1185" s="88"/>
      <c r="M1185" s="88"/>
      <c r="N1185" s="88"/>
      <c r="O1185" s="88"/>
      <c r="P1185" s="88"/>
      <c r="Q1185" s="88"/>
      <c r="R1185" s="88"/>
      <c r="S1185" s="88"/>
      <c r="T1185" s="93"/>
      <c r="U1185" s="53" t="s">
        <v>2419</v>
      </c>
      <c r="V1185" s="89">
        <v>1</v>
      </c>
      <c r="W1185" s="90" t="s">
        <v>1019</v>
      </c>
      <c r="X1185" s="89" t="s">
        <v>1947</v>
      </c>
      <c r="Y1185" s="89"/>
      <c r="Z1185" s="101" t="s">
        <v>2037</v>
      </c>
      <c r="AA1185" s="91"/>
      <c r="AB1185" s="91"/>
      <c r="AC1185" s="89"/>
    </row>
    <row r="1186" spans="1:29" s="7" customFormat="1" outlineLevel="1" x14ac:dyDescent="0.25">
      <c r="A1186" s="86" t="s">
        <v>5</v>
      </c>
      <c r="B1186" s="86" t="s">
        <v>49</v>
      </c>
      <c r="C1186" s="88" t="s">
        <v>2160</v>
      </c>
      <c r="D1186" s="88"/>
      <c r="E1186" s="88"/>
      <c r="F1186" s="88"/>
      <c r="G1186" s="88"/>
      <c r="H1186" s="88"/>
      <c r="I1186" s="88"/>
      <c r="J1186" s="88"/>
      <c r="K1186" s="88"/>
      <c r="L1186" s="88"/>
      <c r="M1186" s="88"/>
      <c r="N1186" s="88"/>
      <c r="O1186" s="88"/>
      <c r="P1186" s="88"/>
      <c r="Q1186" s="88"/>
      <c r="R1186" s="88"/>
      <c r="S1186" s="88"/>
      <c r="T1186" s="93"/>
      <c r="U1186" s="53" t="s">
        <v>2420</v>
      </c>
      <c r="V1186" s="89">
        <v>1</v>
      </c>
      <c r="W1186" s="90" t="s">
        <v>1019</v>
      </c>
      <c r="X1186" s="89" t="s">
        <v>1947</v>
      </c>
      <c r="Y1186" s="89"/>
      <c r="Z1186" s="101" t="s">
        <v>2038</v>
      </c>
      <c r="AA1186" s="91"/>
      <c r="AB1186" s="91"/>
      <c r="AC1186" s="89"/>
    </row>
    <row r="1187" spans="1:29" s="7" customFormat="1" x14ac:dyDescent="0.25">
      <c r="A1187" s="86" t="s">
        <v>4</v>
      </c>
      <c r="B1187" s="87" t="s">
        <v>2191</v>
      </c>
      <c r="C1187" s="88"/>
      <c r="D1187" s="88"/>
      <c r="E1187" s="88"/>
      <c r="F1187" s="88"/>
      <c r="G1187" s="88"/>
      <c r="H1187" s="88"/>
      <c r="I1187" s="88"/>
      <c r="J1187" s="88"/>
      <c r="K1187" s="88"/>
      <c r="L1187" s="88"/>
      <c r="M1187" s="88"/>
      <c r="N1187" s="88"/>
      <c r="O1187" s="88"/>
      <c r="P1187" s="88"/>
      <c r="Q1187" s="88"/>
      <c r="R1187" s="88"/>
      <c r="S1187" s="88"/>
      <c r="T1187" s="88"/>
      <c r="U1187" s="53" t="s">
        <v>2421</v>
      </c>
      <c r="V1187" s="89">
        <v>1</v>
      </c>
      <c r="W1187" s="90" t="s">
        <v>1019</v>
      </c>
      <c r="X1187" s="89" t="s">
        <v>1947</v>
      </c>
      <c r="Y1187" s="89"/>
      <c r="Z1187" s="101" t="s">
        <v>2055</v>
      </c>
      <c r="AA1187" s="91"/>
      <c r="AB1187" s="91"/>
      <c r="AC1187" s="92" t="s">
        <v>1039</v>
      </c>
    </row>
    <row r="1188" spans="1:29" s="7" customFormat="1" outlineLevel="1" collapsed="1" x14ac:dyDescent="0.25">
      <c r="A1188" s="86" t="s">
        <v>5</v>
      </c>
      <c r="B1188" s="86" t="s">
        <v>49</v>
      </c>
      <c r="C1188" s="87" t="s">
        <v>2192</v>
      </c>
      <c r="D1188" s="88"/>
      <c r="E1188" s="88"/>
      <c r="F1188" s="88"/>
      <c r="G1188" s="88"/>
      <c r="H1188" s="88"/>
      <c r="I1188" s="88"/>
      <c r="J1188" s="88"/>
      <c r="K1188" s="88"/>
      <c r="L1188" s="88"/>
      <c r="M1188" s="88"/>
      <c r="N1188" s="88"/>
      <c r="O1188" s="88"/>
      <c r="P1188" s="88"/>
      <c r="Q1188" s="88"/>
      <c r="R1188" s="88"/>
      <c r="S1188" s="88"/>
      <c r="T1188" s="88"/>
      <c r="U1188" s="53" t="s">
        <v>2422</v>
      </c>
      <c r="V1188" s="89">
        <v>1</v>
      </c>
      <c r="W1188" s="90" t="s">
        <v>1019</v>
      </c>
      <c r="X1188" s="89" t="s">
        <v>1947</v>
      </c>
      <c r="Y1188" s="89"/>
      <c r="Z1188" s="101" t="s">
        <v>2056</v>
      </c>
      <c r="AA1188" s="91"/>
      <c r="AB1188" s="91"/>
      <c r="AC1188" s="89"/>
    </row>
    <row r="1189" spans="1:29" s="7" customFormat="1" x14ac:dyDescent="0.25">
      <c r="A1189" s="1" t="s">
        <v>4</v>
      </c>
      <c r="B1189" s="5" t="s">
        <v>2193</v>
      </c>
      <c r="C1189" s="13"/>
      <c r="D1189" s="13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53" t="s">
        <v>2423</v>
      </c>
      <c r="V1189" s="18">
        <v>1</v>
      </c>
      <c r="W1189" s="47" t="s">
        <v>1019</v>
      </c>
      <c r="X1189" s="18"/>
      <c r="Y1189" s="18"/>
      <c r="Z1189" s="98" t="s">
        <v>2039</v>
      </c>
      <c r="AA1189" s="19"/>
      <c r="AB1189" s="19"/>
      <c r="AC1189" s="20" t="s">
        <v>1040</v>
      </c>
    </row>
    <row r="1190" spans="1:29" s="7" customFormat="1" outlineLevel="1" collapsed="1" x14ac:dyDescent="0.25">
      <c r="A1190" s="1" t="s">
        <v>5</v>
      </c>
      <c r="B1190" s="1" t="s">
        <v>4</v>
      </c>
      <c r="C1190" s="5" t="s">
        <v>2194</v>
      </c>
      <c r="D1190" s="13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53" t="s">
        <v>2424</v>
      </c>
      <c r="V1190" s="18">
        <v>1</v>
      </c>
      <c r="W1190" s="47" t="s">
        <v>1019</v>
      </c>
      <c r="X1190" s="18"/>
      <c r="Y1190" s="18"/>
      <c r="Z1190" s="98" t="s">
        <v>2040</v>
      </c>
      <c r="AA1190" s="19"/>
      <c r="AB1190" s="19"/>
      <c r="AC1190" s="18"/>
    </row>
    <row r="1191" spans="1:29" s="7" customFormat="1" outlineLevel="1" collapsed="1" x14ac:dyDescent="0.25">
      <c r="A1191" s="1" t="s">
        <v>5</v>
      </c>
      <c r="B1191" s="1" t="s">
        <v>4</v>
      </c>
      <c r="C1191" s="13" t="s">
        <v>2161</v>
      </c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U1191" s="53" t="s">
        <v>2425</v>
      </c>
      <c r="V1191" s="18">
        <v>1</v>
      </c>
      <c r="W1191" s="47" t="s">
        <v>1019</v>
      </c>
      <c r="X1191" s="18"/>
      <c r="Y1191" s="18"/>
      <c r="Z1191" s="98" t="s">
        <v>2041</v>
      </c>
      <c r="AA1191" s="19"/>
      <c r="AB1191" s="19"/>
      <c r="AC1191" s="18"/>
    </row>
    <row r="1192" spans="1:29" s="7" customFormat="1" outlineLevel="1" x14ac:dyDescent="0.25">
      <c r="A1192" s="1" t="s">
        <v>5</v>
      </c>
      <c r="B1192" s="1" t="s">
        <v>4</v>
      </c>
      <c r="C1192" s="13" t="s">
        <v>2162</v>
      </c>
      <c r="D1192" s="13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U1192" s="53" t="s">
        <v>2426</v>
      </c>
      <c r="V1192" s="18">
        <v>1</v>
      </c>
      <c r="W1192" s="47" t="s">
        <v>1019</v>
      </c>
      <c r="X1192" s="18"/>
      <c r="Y1192" s="18"/>
      <c r="Z1192" s="98" t="s">
        <v>2042</v>
      </c>
      <c r="AA1192" s="19"/>
      <c r="AB1192" s="19"/>
      <c r="AC1192" s="18"/>
    </row>
    <row r="1193" spans="1:29" s="7" customFormat="1" outlineLevel="1" collapsed="1" x14ac:dyDescent="0.25">
      <c r="A1193" s="1" t="s">
        <v>5</v>
      </c>
      <c r="B1193" s="1" t="s">
        <v>4</v>
      </c>
      <c r="C1193" s="13" t="s">
        <v>2163</v>
      </c>
      <c r="D1193" s="13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U1193" s="53" t="s">
        <v>2427</v>
      </c>
      <c r="V1193" s="18">
        <v>1</v>
      </c>
      <c r="W1193" s="47" t="s">
        <v>1019</v>
      </c>
      <c r="X1193" s="18"/>
      <c r="Y1193" s="18"/>
      <c r="Z1193" s="98" t="s">
        <v>2043</v>
      </c>
      <c r="AA1193" s="19"/>
      <c r="AB1193" s="19"/>
      <c r="AC1193" s="18"/>
    </row>
    <row r="1194" spans="1:29" s="7" customFormat="1" outlineLevel="1" x14ac:dyDescent="0.25">
      <c r="A1194" s="1" t="s">
        <v>5</v>
      </c>
      <c r="B1194" s="1" t="s">
        <v>49</v>
      </c>
      <c r="C1194" s="13" t="s">
        <v>2164</v>
      </c>
      <c r="D1194" s="13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U1194" s="53" t="s">
        <v>2428</v>
      </c>
      <c r="V1194" s="18">
        <v>1</v>
      </c>
      <c r="W1194" s="47" t="s">
        <v>1019</v>
      </c>
      <c r="X1194" s="18"/>
      <c r="Y1194" s="18"/>
      <c r="Z1194" s="98" t="s">
        <v>2044</v>
      </c>
      <c r="AA1194" s="19"/>
      <c r="AB1194" s="19"/>
      <c r="AC1194" s="18"/>
    </row>
    <row r="1195" spans="1:29" s="7" customFormat="1" x14ac:dyDescent="0.25">
      <c r="A1195" s="1" t="s">
        <v>4</v>
      </c>
      <c r="B1195" s="5" t="s">
        <v>2195</v>
      </c>
      <c r="C1195" s="13"/>
      <c r="D1195" s="13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53" t="s">
        <v>2429</v>
      </c>
      <c r="V1195" s="18">
        <v>1</v>
      </c>
      <c r="W1195" s="47" t="s">
        <v>1019</v>
      </c>
      <c r="X1195" s="18"/>
      <c r="Y1195" s="18"/>
      <c r="Z1195" s="98" t="s">
        <v>2057</v>
      </c>
      <c r="AA1195" s="19"/>
      <c r="AB1195" s="19"/>
      <c r="AC1195" s="20" t="s">
        <v>1040</v>
      </c>
    </row>
    <row r="1196" spans="1:29" s="7" customFormat="1" outlineLevel="1" collapsed="1" x14ac:dyDescent="0.25">
      <c r="A1196" s="1" t="s">
        <v>5</v>
      </c>
      <c r="B1196" s="1" t="s">
        <v>49</v>
      </c>
      <c r="C1196" s="5" t="s">
        <v>2196</v>
      </c>
      <c r="D1196" s="13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53" t="s">
        <v>2430</v>
      </c>
      <c r="V1196" s="18">
        <v>1</v>
      </c>
      <c r="W1196" s="47" t="s">
        <v>1019</v>
      </c>
      <c r="X1196" s="18"/>
      <c r="Y1196" s="18"/>
      <c r="Z1196" s="98" t="s">
        <v>2058</v>
      </c>
      <c r="AA1196" s="19"/>
      <c r="AB1196" s="19"/>
      <c r="AC1196" s="18"/>
    </row>
    <row r="1197" spans="1:29" s="7" customFormat="1" x14ac:dyDescent="0.25">
      <c r="A1197" s="86" t="s">
        <v>4</v>
      </c>
      <c r="B1197" s="87" t="s">
        <v>2197</v>
      </c>
      <c r="C1197" s="88"/>
      <c r="D1197" s="88"/>
      <c r="E1197" s="88"/>
      <c r="F1197" s="88"/>
      <c r="G1197" s="88"/>
      <c r="H1197" s="88"/>
      <c r="I1197" s="88"/>
      <c r="J1197" s="88"/>
      <c r="K1197" s="88"/>
      <c r="L1197" s="88"/>
      <c r="M1197" s="88"/>
      <c r="N1197" s="88"/>
      <c r="O1197" s="88"/>
      <c r="P1197" s="88"/>
      <c r="Q1197" s="88"/>
      <c r="R1197" s="88"/>
      <c r="S1197" s="88"/>
      <c r="T1197" s="88"/>
      <c r="U1197" s="53" t="s">
        <v>2431</v>
      </c>
      <c r="V1197" s="89">
        <v>1</v>
      </c>
      <c r="W1197" s="90" t="s">
        <v>1019</v>
      </c>
      <c r="X1197" s="89" t="s">
        <v>1947</v>
      </c>
      <c r="Y1197" s="89"/>
      <c r="Z1197" s="101" t="s">
        <v>2045</v>
      </c>
      <c r="AA1197" s="91"/>
      <c r="AB1197" s="91"/>
      <c r="AC1197" s="92" t="s">
        <v>1041</v>
      </c>
    </row>
    <row r="1198" spans="1:29" s="7" customFormat="1" outlineLevel="1" collapsed="1" x14ac:dyDescent="0.25">
      <c r="A1198" s="86" t="s">
        <v>5</v>
      </c>
      <c r="B1198" s="86" t="s">
        <v>49</v>
      </c>
      <c r="C1198" s="87" t="s">
        <v>2198</v>
      </c>
      <c r="D1198" s="88"/>
      <c r="E1198" s="88"/>
      <c r="F1198" s="88"/>
      <c r="G1198" s="88"/>
      <c r="H1198" s="88"/>
      <c r="I1198" s="88"/>
      <c r="J1198" s="88"/>
      <c r="K1198" s="88"/>
      <c r="L1198" s="88"/>
      <c r="M1198" s="88"/>
      <c r="N1198" s="88"/>
      <c r="O1198" s="88"/>
      <c r="P1198" s="88"/>
      <c r="Q1198" s="88"/>
      <c r="R1198" s="88"/>
      <c r="S1198" s="88"/>
      <c r="T1198" s="88"/>
      <c r="U1198" s="53" t="s">
        <v>2432</v>
      </c>
      <c r="V1198" s="89">
        <v>1</v>
      </c>
      <c r="W1198" s="90" t="s">
        <v>1019</v>
      </c>
      <c r="X1198" s="89" t="s">
        <v>1947</v>
      </c>
      <c r="Y1198" s="89"/>
      <c r="Z1198" s="101" t="s">
        <v>2046</v>
      </c>
      <c r="AA1198" s="91"/>
      <c r="AB1198" s="91"/>
      <c r="AC1198" s="89"/>
    </row>
    <row r="1199" spans="1:29" s="7" customFormat="1" x14ac:dyDescent="0.25">
      <c r="A1199" s="86" t="s">
        <v>4</v>
      </c>
      <c r="B1199" s="87" t="s">
        <v>2199</v>
      </c>
      <c r="C1199" s="88"/>
      <c r="D1199" s="88"/>
      <c r="E1199" s="88"/>
      <c r="F1199" s="88"/>
      <c r="G1199" s="88"/>
      <c r="H1199" s="88"/>
      <c r="I1199" s="88"/>
      <c r="J1199" s="88"/>
      <c r="K1199" s="88"/>
      <c r="L1199" s="88"/>
      <c r="M1199" s="88"/>
      <c r="N1199" s="88"/>
      <c r="O1199" s="88"/>
      <c r="P1199" s="88"/>
      <c r="Q1199" s="88"/>
      <c r="R1199" s="88"/>
      <c r="S1199" s="88"/>
      <c r="T1199" s="88"/>
      <c r="U1199" s="53" t="s">
        <v>2433</v>
      </c>
      <c r="V1199" s="89">
        <v>1</v>
      </c>
      <c r="W1199" s="90" t="s">
        <v>1019</v>
      </c>
      <c r="X1199" s="89" t="s">
        <v>1947</v>
      </c>
      <c r="Y1199" s="89"/>
      <c r="Z1199" s="101" t="s">
        <v>2059</v>
      </c>
      <c r="AA1199" s="91"/>
      <c r="AB1199" s="91"/>
      <c r="AC1199" s="92" t="s">
        <v>1041</v>
      </c>
    </row>
    <row r="1200" spans="1:29" s="7" customFormat="1" outlineLevel="1" collapsed="1" x14ac:dyDescent="0.25">
      <c r="A1200" s="86" t="s">
        <v>5</v>
      </c>
      <c r="B1200" s="86" t="s">
        <v>49</v>
      </c>
      <c r="C1200" s="87" t="s">
        <v>2200</v>
      </c>
      <c r="D1200" s="88"/>
      <c r="E1200" s="88"/>
      <c r="F1200" s="88"/>
      <c r="G1200" s="88"/>
      <c r="H1200" s="88"/>
      <c r="I1200" s="88"/>
      <c r="J1200" s="88"/>
      <c r="K1200" s="88"/>
      <c r="L1200" s="88"/>
      <c r="M1200" s="88"/>
      <c r="N1200" s="88"/>
      <c r="O1200" s="88"/>
      <c r="P1200" s="88"/>
      <c r="Q1200" s="88"/>
      <c r="R1200" s="88"/>
      <c r="S1200" s="88"/>
      <c r="T1200" s="88"/>
      <c r="U1200" s="53" t="s">
        <v>2434</v>
      </c>
      <c r="V1200" s="89">
        <v>1</v>
      </c>
      <c r="W1200" s="90" t="s">
        <v>1019</v>
      </c>
      <c r="X1200" s="89" t="s">
        <v>1947</v>
      </c>
      <c r="Y1200" s="89"/>
      <c r="Z1200" s="101" t="s">
        <v>2060</v>
      </c>
      <c r="AA1200" s="91"/>
      <c r="AB1200" s="91"/>
      <c r="AC1200" s="89"/>
    </row>
    <row r="1201" spans="1:29" s="7" customFormat="1" x14ac:dyDescent="0.25">
      <c r="A1201" s="86" t="s">
        <v>4</v>
      </c>
      <c r="B1201" s="87" t="s">
        <v>2201</v>
      </c>
      <c r="C1201" s="88"/>
      <c r="D1201" s="88"/>
      <c r="E1201" s="88"/>
      <c r="F1201" s="88"/>
      <c r="G1201" s="88"/>
      <c r="H1201" s="88"/>
      <c r="I1201" s="88"/>
      <c r="J1201" s="88"/>
      <c r="K1201" s="88"/>
      <c r="L1201" s="88"/>
      <c r="M1201" s="88"/>
      <c r="N1201" s="88"/>
      <c r="O1201" s="88"/>
      <c r="P1201" s="88"/>
      <c r="Q1201" s="88"/>
      <c r="R1201" s="88"/>
      <c r="S1201" s="88"/>
      <c r="T1201" s="88"/>
      <c r="U1201" s="53" t="s">
        <v>2435</v>
      </c>
      <c r="V1201" s="89">
        <v>1</v>
      </c>
      <c r="W1201" s="90" t="s">
        <v>1019</v>
      </c>
      <c r="X1201" s="89" t="s">
        <v>1947</v>
      </c>
      <c r="Y1201" s="89"/>
      <c r="Z1201" s="101" t="s">
        <v>2062</v>
      </c>
      <c r="AA1201" s="91"/>
      <c r="AB1201" s="91"/>
      <c r="AC1201" s="92" t="s">
        <v>1037</v>
      </c>
    </row>
    <row r="1202" spans="1:29" s="7" customFormat="1" outlineLevel="1" collapsed="1" x14ac:dyDescent="0.25">
      <c r="A1202" s="86" t="s">
        <v>5</v>
      </c>
      <c r="B1202" s="86" t="s">
        <v>49</v>
      </c>
      <c r="C1202" s="87" t="s">
        <v>2202</v>
      </c>
      <c r="D1202" s="88"/>
      <c r="E1202" s="88"/>
      <c r="F1202" s="88"/>
      <c r="G1202" s="88"/>
      <c r="H1202" s="88"/>
      <c r="I1202" s="88"/>
      <c r="J1202" s="88"/>
      <c r="K1202" s="88"/>
      <c r="L1202" s="88"/>
      <c r="M1202" s="88"/>
      <c r="N1202" s="88"/>
      <c r="O1202" s="88"/>
      <c r="P1202" s="88"/>
      <c r="Q1202" s="88"/>
      <c r="R1202" s="88"/>
      <c r="S1202" s="88"/>
      <c r="T1202" s="88"/>
      <c r="U1202" s="53" t="s">
        <v>2436</v>
      </c>
      <c r="V1202" s="89">
        <v>1</v>
      </c>
      <c r="W1202" s="90" t="s">
        <v>1019</v>
      </c>
      <c r="X1202" s="89" t="s">
        <v>1947</v>
      </c>
      <c r="Y1202" s="89"/>
      <c r="Z1202" s="101" t="s">
        <v>2063</v>
      </c>
      <c r="AA1202" s="91"/>
      <c r="AB1202" s="91"/>
      <c r="AC1202" s="89"/>
    </row>
    <row r="1203" spans="1:29" s="7" customFormat="1" x14ac:dyDescent="0.25">
      <c r="A1203" s="86" t="s">
        <v>4</v>
      </c>
      <c r="B1203" s="87" t="s">
        <v>2203</v>
      </c>
      <c r="C1203" s="88"/>
      <c r="D1203" s="88"/>
      <c r="E1203" s="88"/>
      <c r="F1203" s="88"/>
      <c r="G1203" s="88"/>
      <c r="H1203" s="88"/>
      <c r="I1203" s="88"/>
      <c r="J1203" s="88"/>
      <c r="K1203" s="88"/>
      <c r="L1203" s="88"/>
      <c r="M1203" s="88"/>
      <c r="N1203" s="88"/>
      <c r="O1203" s="88"/>
      <c r="P1203" s="88"/>
      <c r="Q1203" s="88"/>
      <c r="R1203" s="88"/>
      <c r="S1203" s="88"/>
      <c r="T1203" s="88"/>
      <c r="U1203" s="53" t="s">
        <v>2437</v>
      </c>
      <c r="V1203" s="89">
        <v>1</v>
      </c>
      <c r="W1203" s="90" t="s">
        <v>1019</v>
      </c>
      <c r="X1203" s="89" t="s">
        <v>1947</v>
      </c>
      <c r="Y1203" s="89"/>
      <c r="Z1203" s="101" t="s">
        <v>2066</v>
      </c>
      <c r="AA1203" s="91"/>
      <c r="AB1203" s="91"/>
      <c r="AC1203" s="92" t="s">
        <v>1037</v>
      </c>
    </row>
    <row r="1204" spans="1:29" s="7" customFormat="1" outlineLevel="1" collapsed="1" x14ac:dyDescent="0.25">
      <c r="A1204" s="86" t="s">
        <v>5</v>
      </c>
      <c r="B1204" s="86" t="s">
        <v>49</v>
      </c>
      <c r="C1204" s="87" t="s">
        <v>2204</v>
      </c>
      <c r="D1204" s="88"/>
      <c r="E1204" s="88"/>
      <c r="F1204" s="88"/>
      <c r="G1204" s="88"/>
      <c r="H1204" s="88"/>
      <c r="I1204" s="88"/>
      <c r="J1204" s="88"/>
      <c r="K1204" s="88"/>
      <c r="L1204" s="88"/>
      <c r="M1204" s="88"/>
      <c r="N1204" s="88"/>
      <c r="O1204" s="88"/>
      <c r="P1204" s="88"/>
      <c r="Q1204" s="88"/>
      <c r="R1204" s="88"/>
      <c r="S1204" s="88"/>
      <c r="T1204" s="88"/>
      <c r="U1204" s="53" t="s">
        <v>2438</v>
      </c>
      <c r="V1204" s="89">
        <v>1</v>
      </c>
      <c r="W1204" s="90" t="s">
        <v>1019</v>
      </c>
      <c r="X1204" s="89" t="s">
        <v>1947</v>
      </c>
      <c r="Y1204" s="89"/>
      <c r="Z1204" s="101" t="s">
        <v>2067</v>
      </c>
      <c r="AA1204" s="91"/>
      <c r="AB1204" s="91"/>
      <c r="AC1204" s="89"/>
    </row>
    <row r="1205" spans="1:29" s="7" customFormat="1" x14ac:dyDescent="0.25">
      <c r="A1205" s="86" t="s">
        <v>4</v>
      </c>
      <c r="B1205" s="87" t="s">
        <v>2205</v>
      </c>
      <c r="C1205" s="88"/>
      <c r="D1205" s="88"/>
      <c r="E1205" s="88"/>
      <c r="F1205" s="88"/>
      <c r="G1205" s="88"/>
      <c r="H1205" s="88"/>
      <c r="I1205" s="88"/>
      <c r="J1205" s="88"/>
      <c r="K1205" s="88"/>
      <c r="L1205" s="88"/>
      <c r="M1205" s="88"/>
      <c r="N1205" s="88"/>
      <c r="O1205" s="88"/>
      <c r="P1205" s="88"/>
      <c r="Q1205" s="88"/>
      <c r="R1205" s="88"/>
      <c r="S1205" s="88"/>
      <c r="T1205" s="88"/>
      <c r="U1205" s="53" t="s">
        <v>2439</v>
      </c>
      <c r="V1205" s="89">
        <v>1</v>
      </c>
      <c r="W1205" s="90" t="s">
        <v>1019</v>
      </c>
      <c r="X1205" s="89" t="s">
        <v>1947</v>
      </c>
      <c r="Y1205" s="89"/>
      <c r="Z1205" s="101" t="s">
        <v>2064</v>
      </c>
      <c r="AA1205" s="91"/>
      <c r="AB1205" s="91"/>
      <c r="AC1205" s="92" t="s">
        <v>1037</v>
      </c>
    </row>
    <row r="1206" spans="1:29" s="7" customFormat="1" outlineLevel="1" collapsed="1" x14ac:dyDescent="0.25">
      <c r="A1206" s="86" t="s">
        <v>5</v>
      </c>
      <c r="B1206" s="86" t="s">
        <v>49</v>
      </c>
      <c r="C1206" s="87" t="s">
        <v>2206</v>
      </c>
      <c r="D1206" s="88"/>
      <c r="E1206" s="88"/>
      <c r="F1206" s="88"/>
      <c r="G1206" s="88"/>
      <c r="H1206" s="88"/>
      <c r="I1206" s="88"/>
      <c r="J1206" s="88"/>
      <c r="K1206" s="88"/>
      <c r="L1206" s="88"/>
      <c r="M1206" s="88"/>
      <c r="N1206" s="88"/>
      <c r="O1206" s="88"/>
      <c r="P1206" s="88"/>
      <c r="Q1206" s="88"/>
      <c r="R1206" s="88"/>
      <c r="S1206" s="88"/>
      <c r="T1206" s="88"/>
      <c r="U1206" s="53" t="s">
        <v>2440</v>
      </c>
      <c r="V1206" s="89">
        <v>1</v>
      </c>
      <c r="W1206" s="90" t="s">
        <v>1019</v>
      </c>
      <c r="X1206" s="89" t="s">
        <v>1947</v>
      </c>
      <c r="Y1206" s="89"/>
      <c r="Z1206" s="101" t="s">
        <v>2065</v>
      </c>
      <c r="AA1206" s="91"/>
      <c r="AB1206" s="91"/>
      <c r="AC1206" s="89"/>
    </row>
    <row r="1207" spans="1:29" s="7" customFormat="1" x14ac:dyDescent="0.25">
      <c r="A1207" s="86" t="s">
        <v>4</v>
      </c>
      <c r="B1207" s="87" t="s">
        <v>2207</v>
      </c>
      <c r="C1207" s="88"/>
      <c r="D1207" s="88"/>
      <c r="E1207" s="88"/>
      <c r="F1207" s="88"/>
      <c r="G1207" s="88"/>
      <c r="H1207" s="88"/>
      <c r="I1207" s="88"/>
      <c r="J1207" s="88"/>
      <c r="K1207" s="88"/>
      <c r="L1207" s="88"/>
      <c r="M1207" s="88"/>
      <c r="N1207" s="88"/>
      <c r="O1207" s="88"/>
      <c r="P1207" s="88"/>
      <c r="Q1207" s="88"/>
      <c r="R1207" s="88"/>
      <c r="S1207" s="88"/>
      <c r="T1207" s="88"/>
      <c r="U1207" s="53" t="s">
        <v>2441</v>
      </c>
      <c r="V1207" s="89">
        <v>1</v>
      </c>
      <c r="W1207" s="90" t="s">
        <v>1019</v>
      </c>
      <c r="X1207" s="89" t="s">
        <v>1947</v>
      </c>
      <c r="Y1207" s="89"/>
      <c r="Z1207" s="101" t="s">
        <v>2068</v>
      </c>
      <c r="AA1207" s="91"/>
      <c r="AB1207" s="91"/>
      <c r="AC1207" s="92" t="s">
        <v>1037</v>
      </c>
    </row>
    <row r="1208" spans="1:29" s="7" customFormat="1" outlineLevel="1" collapsed="1" x14ac:dyDescent="0.25">
      <c r="A1208" s="86" t="s">
        <v>5</v>
      </c>
      <c r="B1208" s="86" t="s">
        <v>49</v>
      </c>
      <c r="C1208" s="87" t="s">
        <v>2208</v>
      </c>
      <c r="D1208" s="88"/>
      <c r="E1208" s="88"/>
      <c r="F1208" s="88"/>
      <c r="G1208" s="88"/>
      <c r="H1208" s="88"/>
      <c r="I1208" s="88"/>
      <c r="J1208" s="88"/>
      <c r="K1208" s="88"/>
      <c r="L1208" s="88"/>
      <c r="M1208" s="88"/>
      <c r="N1208" s="88"/>
      <c r="O1208" s="88"/>
      <c r="P1208" s="88"/>
      <c r="Q1208" s="88"/>
      <c r="R1208" s="88"/>
      <c r="S1208" s="88"/>
      <c r="T1208" s="88"/>
      <c r="U1208" s="53" t="s">
        <v>2442</v>
      </c>
      <c r="V1208" s="89">
        <v>1</v>
      </c>
      <c r="W1208" s="90" t="s">
        <v>1019</v>
      </c>
      <c r="X1208" s="89" t="s">
        <v>1947</v>
      </c>
      <c r="Y1208" s="89"/>
      <c r="Z1208" s="101" t="s">
        <v>2069</v>
      </c>
      <c r="AA1208" s="91"/>
      <c r="AB1208" s="91"/>
      <c r="AC1208" s="89"/>
    </row>
    <row r="1209" spans="1:29" s="7" customFormat="1" collapsed="1" x14ac:dyDescent="0.25">
      <c r="A1209" s="1" t="s">
        <v>49</v>
      </c>
      <c r="B1209" s="5" t="s">
        <v>1036</v>
      </c>
      <c r="C1209" s="13"/>
      <c r="D1209" s="13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53" t="s">
        <v>2443</v>
      </c>
      <c r="V1209" s="18">
        <v>1</v>
      </c>
      <c r="W1209" s="47" t="s">
        <v>1019</v>
      </c>
      <c r="X1209" s="18"/>
      <c r="Y1209" s="18"/>
      <c r="Z1209" s="98"/>
      <c r="AA1209" s="19"/>
      <c r="AB1209" s="19"/>
      <c r="AC1209" s="20"/>
    </row>
  </sheetData>
  <customSheetViews>
    <customSheetView guid="{81DE55B0-85A9-418C-8421-697090D2269D}" showGridLines="0">
      <pane ySplit="3" topLeftCell="A4" activePane="bottomLeft" state="frozen"/>
      <selection pane="bottomLeft" activeCell="H9" sqref="H9"/>
      <pageMargins left="0.7" right="0.7" top="0.75" bottom="0.75" header="0.3" footer="0.3"/>
    </customSheetView>
  </customSheetViews>
  <mergeCells count="1">
    <mergeCell ref="A3:T3"/>
  </mergeCells>
  <phoneticPr fontId="10" type="noConversion"/>
  <hyperlinks>
    <hyperlink ref="Y555" r:id="rId1"/>
    <hyperlink ref="Y554" r:id="rId2"/>
    <hyperlink ref="Y1149" r:id="rId3"/>
    <hyperlink ref="Y1150" r:id="rId4"/>
    <hyperlink ref="Y553" r:id="rId5"/>
    <hyperlink ref="Y411" r:id="rId6"/>
    <hyperlink ref="Y112" r:id="rId7" display="https://keaz.ru/catalog/sredstva-montaja-aksessuari-nku/aksessuari-dlya-nku/aksessuari-din-reyki/234382"/>
    <hyperlink ref="Y859" r:id="rId8"/>
    <hyperlink ref="Y935" r:id="rId9"/>
    <hyperlink ref="Y936" r:id="rId10"/>
    <hyperlink ref="Y937" r:id="rId11"/>
    <hyperlink ref="Y1115" r:id="rId12"/>
    <hyperlink ref="Y598" r:id="rId13"/>
    <hyperlink ref="Y1116" r:id="rId14"/>
    <hyperlink ref="Y599" r:id="rId15"/>
    <hyperlink ref="Y1137" r:id="rId16"/>
    <hyperlink ref="Y952" r:id="rId17"/>
    <hyperlink ref="Y972" r:id="rId18"/>
    <hyperlink ref="Y946" r:id="rId19"/>
    <hyperlink ref="Y947" r:id="rId20"/>
    <hyperlink ref="Y901" r:id="rId21"/>
    <hyperlink ref="Y1148" r:id="rId22"/>
    <hyperlink ref="Y940" r:id="rId23" location="pid=3461"/>
    <hyperlink ref="Y743" r:id="rId24"/>
    <hyperlink ref="Y761" r:id="rId25"/>
    <hyperlink ref="Y739" r:id="rId26"/>
    <hyperlink ref="Y742" r:id="rId27"/>
    <hyperlink ref="Y704" r:id="rId28"/>
    <hyperlink ref="Y708" r:id="rId29"/>
    <hyperlink ref="Y618" r:id="rId30"/>
    <hyperlink ref="Y614" r:id="rId31"/>
    <hyperlink ref="Y615" r:id="rId32"/>
    <hyperlink ref="Y616" r:id="rId33"/>
    <hyperlink ref="Y621" r:id="rId34"/>
    <hyperlink ref="Y556" r:id="rId35"/>
    <hyperlink ref="Y619" r:id="rId36"/>
    <hyperlink ref="Y998" r:id="rId37"/>
    <hyperlink ref="Y818" r:id="rId38" location="paging-top"/>
    <hyperlink ref="Y817" r:id="rId39"/>
    <hyperlink ref="Y805" r:id="rId40" location="paging-top"/>
    <hyperlink ref="Y804" r:id="rId41"/>
    <hyperlink ref="Y792" r:id="rId42" location="paging-top"/>
    <hyperlink ref="Y791" r:id="rId43"/>
    <hyperlink ref="Y744" r:id="rId44"/>
    <hyperlink ref="Y725" r:id="rId45"/>
    <hyperlink ref="Y733" r:id="rId46"/>
    <hyperlink ref="Y732" r:id="rId47"/>
    <hyperlink ref="Y760" r:id="rId48"/>
    <hyperlink ref="Y938" r:id="rId49"/>
    <hyperlink ref="Y926" r:id="rId50"/>
    <hyperlink ref="Y125" r:id="rId51"/>
    <hyperlink ref="Y750" r:id="rId52"/>
    <hyperlink ref="Y751" r:id="rId53"/>
    <hyperlink ref="Y753" r:id="rId54" display="https://www.prombearing.ru/catalog/upornye-odinarnye/f-6-12-m/"/>
    <hyperlink ref="Y752" r:id="rId55"/>
    <hyperlink ref="Y756" r:id="rId56"/>
    <hyperlink ref="Y757" r:id="rId57"/>
    <hyperlink ref="Y758" r:id="rId58"/>
    <hyperlink ref="Y741" r:id="rId59"/>
    <hyperlink ref="Y431" r:id="rId60"/>
    <hyperlink ref="Y346" r:id="rId61"/>
    <hyperlink ref="Y379" r:id="rId62"/>
    <hyperlink ref="Y345" r:id="rId63"/>
    <hyperlink ref="Y344" r:id="rId64"/>
    <hyperlink ref="Y343" r:id="rId65"/>
    <hyperlink ref="Y790" r:id="rId66"/>
    <hyperlink ref="Y1042" r:id="rId67"/>
    <hyperlink ref="Y747" r:id="rId68"/>
    <hyperlink ref="Y746" r:id="rId69"/>
    <hyperlink ref="Y551" r:id="rId70"/>
    <hyperlink ref="Y762" r:id="rId71"/>
    <hyperlink ref="X762" r:id="rId72"/>
    <hyperlink ref="Y759" r:id="rId73"/>
    <hyperlink ref="Y715" r:id="rId74"/>
    <hyperlink ref="Y714" r:id="rId75"/>
    <hyperlink ref="Y705" r:id="rId76"/>
    <hyperlink ref="Y709" r:id="rId77"/>
    <hyperlink ref="Y113" r:id="rId78"/>
    <hyperlink ref="Y803" r:id="rId79"/>
    <hyperlink ref="Y816" r:id="rId80"/>
    <hyperlink ref="Y706" r:id="rId81"/>
    <hyperlink ref="Y710" r:id="rId82"/>
    <hyperlink ref="Y713" r:id="rId83"/>
    <hyperlink ref="Y424" r:id="rId84"/>
    <hyperlink ref="Y402" r:id="rId85"/>
    <hyperlink ref="Y403" r:id="rId86"/>
    <hyperlink ref="Y432" r:id="rId87"/>
    <hyperlink ref="Y444" r:id="rId88"/>
    <hyperlink ref="Y443" r:id="rId89"/>
    <hyperlink ref="Y442" r:id="rId90"/>
    <hyperlink ref="Y575" r:id="rId91"/>
    <hyperlink ref="Y576" r:id="rId92"/>
    <hyperlink ref="Y574" r:id="rId93"/>
    <hyperlink ref="Y579" r:id="rId94"/>
    <hyperlink ref="Y580" r:id="rId95"/>
    <hyperlink ref="Y578" r:id="rId96"/>
    <hyperlink ref="Y589" r:id="rId97"/>
    <hyperlink ref="Y587" r:id="rId98"/>
    <hyperlink ref="Y588" r:id="rId99"/>
    <hyperlink ref="Y470" r:id="rId100"/>
    <hyperlink ref="Y469" r:id="rId101"/>
    <hyperlink ref="Y477" r:id="rId102"/>
    <hyperlink ref="Y478" r:id="rId103"/>
    <hyperlink ref="Y484" r:id="rId104"/>
    <hyperlink ref="Y483" r:id="rId105"/>
    <hyperlink ref="Y123" r:id="rId106"/>
    <hyperlink ref="Y124" r:id="rId107"/>
    <hyperlink ref="Y549" r:id="rId108"/>
    <hyperlink ref="Y158" r:id="rId109"/>
    <hyperlink ref="Y159" r:id="rId110"/>
    <hyperlink ref="Y168" r:id="rId111"/>
    <hyperlink ref="Y167" r:id="rId112"/>
    <hyperlink ref="Y180" r:id="rId113"/>
    <hyperlink ref="Y179" r:id="rId114"/>
  </hyperlinks>
  <pageMargins left="0.7" right="0.7" top="0.75" bottom="0.75" header="0.3" footer="0.3"/>
  <pageSetup paperSize="9" orientation="portrait" r:id="rId115"/>
  <drawing r:id="rId116"/>
  <legacyDrawing r:id="rId1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8" name="Button 1">
              <controlPr defaultSize="0" print="0" autoFill="0" autoPict="0" macro="[0]!Update_Library">
                <anchor moveWithCells="1" sizeWithCells="1">
                  <from>
                    <xdr:col>0</xdr:col>
                    <xdr:colOff>66675</xdr:colOff>
                    <xdr:row>0</xdr:row>
                    <xdr:rowOff>57150</xdr:rowOff>
                  </from>
                  <to>
                    <xdr:col>5</xdr:col>
                    <xdr:colOff>180975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N20"/>
  <sheetViews>
    <sheetView showGridLines="0" workbookViewId="0">
      <selection activeCell="B13" sqref="B13"/>
    </sheetView>
  </sheetViews>
  <sheetFormatPr defaultRowHeight="15" x14ac:dyDescent="0.25"/>
  <cols>
    <col min="1" max="2" width="31.5703125" customWidth="1"/>
    <col min="3" max="4" width="4.85546875" customWidth="1"/>
    <col min="5" max="5" width="31" customWidth="1"/>
    <col min="6" max="14" width="3.140625" customWidth="1"/>
  </cols>
  <sheetData>
    <row r="1" spans="1:14" x14ac:dyDescent="0.25">
      <c r="A1" s="76" t="s">
        <v>1936</v>
      </c>
      <c r="B1" s="76" t="s">
        <v>1940</v>
      </c>
      <c r="E1" s="116"/>
      <c r="F1" s="114" t="str">
        <f>B1</f>
        <v>Без сист. Разгрузки</v>
      </c>
      <c r="G1" s="114" t="str">
        <f>B2</f>
        <v>С сист. Разгрузки</v>
      </c>
      <c r="H1" s="114" t="str">
        <f>B3</f>
        <v>Без сист. Страховки</v>
      </c>
      <c r="I1" s="114" t="str">
        <f>B4</f>
        <v>С сист. Страховки</v>
      </c>
      <c r="J1" s="114" t="str">
        <f>A6</f>
        <v>Стандарт</v>
      </c>
      <c r="K1" s="114" t="str">
        <f>A7</f>
        <v>с увелич. Шириной полотна</v>
      </c>
      <c r="L1" s="114" t="str">
        <f>A8</f>
        <v>с увелич. Длиной полотна</v>
      </c>
      <c r="M1" s="114" t="str">
        <f>B6</f>
        <v>Оптич. Датчики</v>
      </c>
      <c r="N1" s="114" t="str">
        <f>B7</f>
        <v>Сист. Адаптации Скорости</v>
      </c>
    </row>
    <row r="2" spans="1:14" x14ac:dyDescent="0.25">
      <c r="A2" s="77" t="s">
        <v>1937</v>
      </c>
      <c r="B2" s="77" t="s">
        <v>1941</v>
      </c>
      <c r="E2" s="116"/>
      <c r="F2" s="114"/>
      <c r="G2" s="114"/>
      <c r="H2" s="114"/>
      <c r="I2" s="114"/>
      <c r="J2" s="114"/>
      <c r="K2" s="114"/>
      <c r="L2" s="114"/>
      <c r="M2" s="114"/>
      <c r="N2" s="114"/>
    </row>
    <row r="3" spans="1:14" x14ac:dyDescent="0.25">
      <c r="A3" s="77" t="s">
        <v>1938</v>
      </c>
      <c r="B3" s="77" t="s">
        <v>1942</v>
      </c>
      <c r="E3" s="116"/>
      <c r="F3" s="114"/>
      <c r="G3" s="114"/>
      <c r="H3" s="114"/>
      <c r="I3" s="114"/>
      <c r="J3" s="114"/>
      <c r="K3" s="114"/>
      <c r="L3" s="114"/>
      <c r="M3" s="114"/>
      <c r="N3" s="114"/>
    </row>
    <row r="4" spans="1:14" ht="15.75" thickBot="1" x14ac:dyDescent="0.3">
      <c r="A4" s="78" t="s">
        <v>1939</v>
      </c>
      <c r="B4" s="78" t="s">
        <v>1943</v>
      </c>
      <c r="E4" s="116"/>
      <c r="F4" s="114"/>
      <c r="G4" s="114"/>
      <c r="H4" s="114"/>
      <c r="I4" s="114"/>
      <c r="J4" s="114"/>
      <c r="K4" s="114"/>
      <c r="L4" s="114"/>
      <c r="M4" s="114"/>
      <c r="N4" s="114"/>
    </row>
    <row r="5" spans="1:14" ht="15.75" thickBot="1" x14ac:dyDescent="0.3">
      <c r="E5" s="116"/>
      <c r="F5" s="114"/>
      <c r="G5" s="114"/>
      <c r="H5" s="114"/>
      <c r="I5" s="114"/>
      <c r="J5" s="114"/>
      <c r="K5" s="114"/>
      <c r="L5" s="114"/>
      <c r="M5" s="114"/>
      <c r="N5" s="114"/>
    </row>
    <row r="6" spans="1:14" x14ac:dyDescent="0.25">
      <c r="A6" s="76" t="s">
        <v>1944</v>
      </c>
      <c r="B6" s="79" t="s">
        <v>1945</v>
      </c>
      <c r="E6" s="116"/>
      <c r="F6" s="114"/>
      <c r="G6" s="114"/>
      <c r="H6" s="114"/>
      <c r="I6" s="114"/>
      <c r="J6" s="114"/>
      <c r="K6" s="114"/>
      <c r="L6" s="114"/>
      <c r="M6" s="114"/>
      <c r="N6" s="114"/>
    </row>
    <row r="7" spans="1:14" ht="15.75" thickBot="1" x14ac:dyDescent="0.3">
      <c r="A7" s="77" t="s">
        <v>2218</v>
      </c>
      <c r="B7" s="80" t="s">
        <v>1946</v>
      </c>
      <c r="E7" s="117"/>
      <c r="F7" s="115"/>
      <c r="G7" s="115"/>
      <c r="H7" s="115"/>
      <c r="I7" s="115"/>
      <c r="J7" s="115"/>
      <c r="K7" s="115"/>
      <c r="L7" s="115"/>
      <c r="M7" s="115"/>
      <c r="N7" s="115"/>
    </row>
    <row r="8" spans="1:14" ht="15.75" thickBot="1" x14ac:dyDescent="0.3">
      <c r="A8" s="78" t="s">
        <v>2219</v>
      </c>
      <c r="E8" s="81" t="str">
        <f>A1</f>
        <v>0.1-12 км/ч</v>
      </c>
      <c r="F8" s="82">
        <v>1</v>
      </c>
      <c r="G8" s="82">
        <v>1</v>
      </c>
      <c r="H8" s="82">
        <v>0</v>
      </c>
      <c r="I8" s="82">
        <v>0</v>
      </c>
      <c r="J8" s="82">
        <v>1</v>
      </c>
      <c r="K8" s="82">
        <v>1</v>
      </c>
      <c r="L8" s="82">
        <v>0</v>
      </c>
      <c r="M8" s="82">
        <v>1</v>
      </c>
      <c r="N8" s="82">
        <v>1</v>
      </c>
    </row>
    <row r="9" spans="1:14" x14ac:dyDescent="0.25">
      <c r="E9" s="81" t="str">
        <f t="shared" ref="E9:E11" si="0">A2</f>
        <v>0.5-20 км/ч</v>
      </c>
      <c r="F9" s="82">
        <v>0</v>
      </c>
      <c r="G9" s="82">
        <v>0</v>
      </c>
      <c r="H9" s="82">
        <v>1</v>
      </c>
      <c r="I9" s="82">
        <v>1</v>
      </c>
      <c r="J9" s="82">
        <v>1</v>
      </c>
      <c r="K9" s="82">
        <v>0</v>
      </c>
      <c r="L9" s="82">
        <v>0</v>
      </c>
      <c r="M9" s="82">
        <v>1</v>
      </c>
      <c r="N9" s="82">
        <v>0</v>
      </c>
    </row>
    <row r="10" spans="1:14" x14ac:dyDescent="0.25">
      <c r="E10" s="81" t="str">
        <f t="shared" si="0"/>
        <v>1-25 км/ч</v>
      </c>
      <c r="F10" s="82">
        <v>0</v>
      </c>
      <c r="G10" s="82">
        <v>0</v>
      </c>
      <c r="H10" s="82">
        <v>1</v>
      </c>
      <c r="I10" s="82">
        <v>1</v>
      </c>
      <c r="J10" s="82">
        <v>1</v>
      </c>
      <c r="K10" s="82">
        <v>0</v>
      </c>
      <c r="L10" s="82">
        <v>0</v>
      </c>
      <c r="M10" s="82">
        <v>1</v>
      </c>
      <c r="N10" s="82">
        <v>0</v>
      </c>
    </row>
    <row r="11" spans="1:14" x14ac:dyDescent="0.25">
      <c r="E11" s="81" t="str">
        <f t="shared" si="0"/>
        <v>1-30 км/ч</v>
      </c>
      <c r="F11" s="82">
        <v>0</v>
      </c>
      <c r="G11" s="82">
        <v>0</v>
      </c>
      <c r="H11" s="82">
        <v>1</v>
      </c>
      <c r="I11" s="82">
        <v>1</v>
      </c>
      <c r="J11" s="82">
        <v>1</v>
      </c>
      <c r="K11" s="82">
        <v>0</v>
      </c>
      <c r="L11" s="82">
        <v>1</v>
      </c>
      <c r="M11" s="82">
        <v>1</v>
      </c>
      <c r="N11" s="82">
        <v>0</v>
      </c>
    </row>
    <row r="12" spans="1:14" x14ac:dyDescent="0.25">
      <c r="E12" s="81" t="str">
        <f>B1</f>
        <v>Без сист. Разгрузки</v>
      </c>
      <c r="F12" s="82">
        <v>1</v>
      </c>
      <c r="G12" s="82">
        <v>0</v>
      </c>
      <c r="H12" s="82">
        <v>1</v>
      </c>
      <c r="I12" s="82">
        <v>1</v>
      </c>
      <c r="J12" s="82">
        <v>1</v>
      </c>
      <c r="K12" s="82">
        <v>1</v>
      </c>
      <c r="L12" s="82">
        <v>0</v>
      </c>
      <c r="M12" s="82">
        <v>1</v>
      </c>
      <c r="N12" s="82">
        <v>1</v>
      </c>
    </row>
    <row r="13" spans="1:14" x14ac:dyDescent="0.25">
      <c r="E13" s="81" t="str">
        <f t="shared" ref="E13:E15" si="1">B2</f>
        <v>С сист. Разгрузки</v>
      </c>
      <c r="F13" s="82"/>
      <c r="G13" s="82">
        <v>1</v>
      </c>
      <c r="H13" s="82">
        <v>1</v>
      </c>
      <c r="I13" s="82">
        <v>0</v>
      </c>
      <c r="J13" s="82">
        <v>1</v>
      </c>
      <c r="K13" s="82">
        <v>1</v>
      </c>
      <c r="L13" s="82">
        <v>0</v>
      </c>
      <c r="M13" s="82">
        <v>1</v>
      </c>
      <c r="N13" s="82">
        <v>1</v>
      </c>
    </row>
    <row r="14" spans="1:14" x14ac:dyDescent="0.25">
      <c r="E14" s="81" t="str">
        <f t="shared" si="1"/>
        <v>Без сист. Страховки</v>
      </c>
      <c r="F14" s="83"/>
      <c r="G14" s="84"/>
      <c r="H14" s="82">
        <v>1</v>
      </c>
      <c r="I14" s="82">
        <v>0</v>
      </c>
      <c r="J14" s="82">
        <v>1</v>
      </c>
      <c r="K14" s="82">
        <v>0</v>
      </c>
      <c r="L14" s="82">
        <v>1</v>
      </c>
      <c r="M14" s="82">
        <v>1</v>
      </c>
      <c r="N14" s="82">
        <v>0</v>
      </c>
    </row>
    <row r="15" spans="1:14" x14ac:dyDescent="0.25">
      <c r="E15" s="81" t="str">
        <f t="shared" si="1"/>
        <v>С сист. Страховки</v>
      </c>
      <c r="F15" s="83"/>
      <c r="G15" s="85"/>
      <c r="H15" s="84"/>
      <c r="I15" s="82">
        <v>1</v>
      </c>
      <c r="J15" s="82">
        <v>1</v>
      </c>
      <c r="K15" s="82">
        <v>0</v>
      </c>
      <c r="L15" s="82">
        <v>1</v>
      </c>
      <c r="M15" s="82">
        <v>1</v>
      </c>
      <c r="N15" s="82">
        <v>0</v>
      </c>
    </row>
    <row r="16" spans="1:14" x14ac:dyDescent="0.25">
      <c r="E16" s="81" t="str">
        <f>A6</f>
        <v>Стандарт</v>
      </c>
      <c r="F16" s="83"/>
      <c r="G16" s="85"/>
      <c r="H16" s="85"/>
      <c r="I16" s="84"/>
      <c r="J16" s="82">
        <v>1</v>
      </c>
      <c r="K16" s="82">
        <v>0</v>
      </c>
      <c r="L16" s="82">
        <v>0</v>
      </c>
      <c r="M16" s="82">
        <v>1</v>
      </c>
      <c r="N16" s="82">
        <v>1</v>
      </c>
    </row>
    <row r="17" spans="5:14" x14ac:dyDescent="0.25">
      <c r="E17" s="81" t="str">
        <f t="shared" ref="E17:E18" si="2">A7</f>
        <v>с увелич. Шириной полотна</v>
      </c>
      <c r="F17" s="83"/>
      <c r="G17" s="85"/>
      <c r="H17" s="85"/>
      <c r="I17" s="85"/>
      <c r="J17" s="84"/>
      <c r="K17" s="82">
        <v>1</v>
      </c>
      <c r="L17" s="82">
        <v>0</v>
      </c>
      <c r="M17" s="82">
        <v>1</v>
      </c>
      <c r="N17" s="82">
        <v>1</v>
      </c>
    </row>
    <row r="18" spans="5:14" x14ac:dyDescent="0.25">
      <c r="E18" s="81" t="str">
        <f t="shared" si="2"/>
        <v>с увелич. Длиной полотна</v>
      </c>
      <c r="F18" s="83"/>
      <c r="G18" s="85"/>
      <c r="H18" s="85"/>
      <c r="I18" s="85"/>
      <c r="J18" s="85"/>
      <c r="K18" s="84"/>
      <c r="L18" s="82">
        <v>1</v>
      </c>
      <c r="M18" s="82">
        <v>1</v>
      </c>
      <c r="N18" s="82">
        <v>0</v>
      </c>
    </row>
    <row r="19" spans="5:14" x14ac:dyDescent="0.25">
      <c r="E19" s="81" t="str">
        <f>B6</f>
        <v>Оптич. Датчики</v>
      </c>
      <c r="F19" s="83"/>
      <c r="G19" s="85"/>
      <c r="H19" s="85"/>
      <c r="I19" s="85"/>
      <c r="J19" s="85"/>
      <c r="K19" s="85"/>
      <c r="L19" s="84"/>
      <c r="M19" s="82">
        <v>1</v>
      </c>
      <c r="N19" s="82">
        <v>0</v>
      </c>
    </row>
    <row r="20" spans="5:14" x14ac:dyDescent="0.25">
      <c r="E20" s="81" t="str">
        <f>B7</f>
        <v>Сист. Адаптации Скорости</v>
      </c>
      <c r="F20" s="83"/>
      <c r="G20" s="85"/>
      <c r="H20" s="85"/>
      <c r="I20" s="85"/>
      <c r="J20" s="85"/>
      <c r="K20" s="85"/>
      <c r="L20" s="85"/>
      <c r="M20" s="84"/>
      <c r="N20" s="82">
        <v>1</v>
      </c>
    </row>
  </sheetData>
  <mergeCells count="10">
    <mergeCell ref="L1:L7"/>
    <mergeCell ref="M1:M7"/>
    <mergeCell ref="N1:N7"/>
    <mergeCell ref="E1:E7"/>
    <mergeCell ref="F1:F7"/>
    <mergeCell ref="G1:G7"/>
    <mergeCell ref="H1:H7"/>
    <mergeCell ref="I1:I7"/>
    <mergeCell ref="J1:J7"/>
    <mergeCell ref="K1:K7"/>
  </mergeCells>
  <conditionalFormatting sqref="F8:N20">
    <cfRule type="colorScale" priority="1">
      <colorScale>
        <cfvo type="num" val="0"/>
        <cfvo type="num" val="1"/>
        <color rgb="FFFF0000"/>
        <color rgb="FF00B050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D947"/>
  <sheetViews>
    <sheetView workbookViewId="0">
      <selection sqref="A1:D1"/>
    </sheetView>
  </sheetViews>
  <sheetFormatPr defaultRowHeight="15" x14ac:dyDescent="0.25"/>
  <cols>
    <col min="1" max="1" width="7.28515625" style="73" customWidth="1"/>
    <col min="2" max="2" width="62.28515625" style="72" customWidth="1"/>
    <col min="3" max="4" width="8.7109375" style="73" customWidth="1"/>
    <col min="5" max="16384" width="9.140625" style="72"/>
  </cols>
  <sheetData>
    <row r="1" spans="1:4" ht="15.75" thickBot="1" x14ac:dyDescent="0.3">
      <c r="A1" s="9" t="s">
        <v>1750</v>
      </c>
      <c r="B1" s="9" t="s">
        <v>1751</v>
      </c>
      <c r="C1" s="9" t="s">
        <v>1</v>
      </c>
      <c r="D1" s="9" t="s">
        <v>1017</v>
      </c>
    </row>
    <row r="2" spans="1:4" hidden="1" x14ac:dyDescent="0.25">
      <c r="A2" s="73">
        <v>1</v>
      </c>
      <c r="B2" s="72" t="s">
        <v>1146</v>
      </c>
    </row>
    <row r="3" spans="1:4" hidden="1" x14ac:dyDescent="0.25">
      <c r="A3" s="73">
        <v>2</v>
      </c>
      <c r="B3" s="72" t="s">
        <v>1147</v>
      </c>
      <c r="C3" s="73">
        <v>1</v>
      </c>
      <c r="D3" s="73" t="s">
        <v>1019</v>
      </c>
    </row>
    <row r="4" spans="1:4" hidden="1" x14ac:dyDescent="0.25">
      <c r="A4" s="73">
        <v>3</v>
      </c>
      <c r="B4" s="72" t="s">
        <v>1948</v>
      </c>
      <c r="C4" s="73">
        <v>1</v>
      </c>
      <c r="D4" s="73" t="s">
        <v>1019</v>
      </c>
    </row>
    <row r="5" spans="1:4" hidden="1" x14ac:dyDescent="0.25">
      <c r="A5" s="73">
        <v>4</v>
      </c>
      <c r="B5" s="72" t="s">
        <v>1148</v>
      </c>
      <c r="C5" s="73">
        <v>1</v>
      </c>
      <c r="D5" s="73" t="s">
        <v>1019</v>
      </c>
    </row>
    <row r="6" spans="1:4" hidden="1" x14ac:dyDescent="0.25">
      <c r="A6" s="73">
        <v>5</v>
      </c>
      <c r="B6" s="71" t="s">
        <v>1149</v>
      </c>
      <c r="C6" s="73">
        <v>1</v>
      </c>
      <c r="D6" s="73" t="s">
        <v>1019</v>
      </c>
    </row>
    <row r="7" spans="1:4" hidden="1" x14ac:dyDescent="0.25">
      <c r="A7" s="73">
        <v>6</v>
      </c>
      <c r="B7" s="72" t="s">
        <v>1150</v>
      </c>
      <c r="C7" s="73">
        <v>1</v>
      </c>
      <c r="D7" s="73" t="s">
        <v>1019</v>
      </c>
    </row>
    <row r="8" spans="1:4" hidden="1" x14ac:dyDescent="0.25">
      <c r="A8" s="73">
        <v>7</v>
      </c>
      <c r="B8" s="72" t="s">
        <v>1151</v>
      </c>
      <c r="C8" s="73">
        <v>1</v>
      </c>
    </row>
    <row r="9" spans="1:4" hidden="1" x14ac:dyDescent="0.25">
      <c r="A9" s="73">
        <v>8</v>
      </c>
      <c r="B9" s="72" t="s">
        <v>1152</v>
      </c>
      <c r="C9" s="73">
        <v>1</v>
      </c>
    </row>
    <row r="10" spans="1:4" hidden="1" x14ac:dyDescent="0.25">
      <c r="A10" s="73">
        <v>9</v>
      </c>
      <c r="B10" s="71" t="s">
        <v>1153</v>
      </c>
      <c r="C10" s="73">
        <v>1</v>
      </c>
    </row>
    <row r="11" spans="1:4" hidden="1" x14ac:dyDescent="0.25">
      <c r="A11" s="73">
        <v>10</v>
      </c>
      <c r="B11" s="72" t="s">
        <v>1154</v>
      </c>
      <c r="C11" s="73">
        <v>1</v>
      </c>
    </row>
    <row r="12" spans="1:4" hidden="1" x14ac:dyDescent="0.25">
      <c r="A12" s="73">
        <v>11</v>
      </c>
      <c r="B12" s="72" t="s">
        <v>1155</v>
      </c>
      <c r="C12" s="73">
        <v>1</v>
      </c>
    </row>
    <row r="13" spans="1:4" hidden="1" x14ac:dyDescent="0.25">
      <c r="A13" s="73">
        <v>12</v>
      </c>
      <c r="B13" s="72" t="s">
        <v>572</v>
      </c>
      <c r="C13" s="73">
        <v>4</v>
      </c>
    </row>
    <row r="14" spans="1:4" hidden="1" x14ac:dyDescent="0.25">
      <c r="A14" s="73">
        <v>13</v>
      </c>
      <c r="B14" s="72" t="s">
        <v>329</v>
      </c>
      <c r="C14" s="73">
        <v>28</v>
      </c>
    </row>
    <row r="15" spans="1:4" hidden="1" x14ac:dyDescent="0.25">
      <c r="A15" s="73">
        <v>14</v>
      </c>
      <c r="B15" s="72" t="s">
        <v>573</v>
      </c>
      <c r="C15" s="73">
        <v>4</v>
      </c>
    </row>
    <row r="16" spans="1:4" hidden="1" x14ac:dyDescent="0.25">
      <c r="A16" s="73">
        <v>15</v>
      </c>
      <c r="B16" s="72" t="s">
        <v>574</v>
      </c>
      <c r="C16" s="73">
        <v>4</v>
      </c>
    </row>
    <row r="17" spans="1:4" hidden="1" x14ac:dyDescent="0.25">
      <c r="A17" s="73">
        <v>16</v>
      </c>
      <c r="B17" s="72" t="s">
        <v>1156</v>
      </c>
      <c r="C17" s="73">
        <v>1</v>
      </c>
      <c r="D17" s="73" t="s">
        <v>1019</v>
      </c>
    </row>
    <row r="18" spans="1:4" hidden="1" x14ac:dyDescent="0.25">
      <c r="A18" s="73">
        <v>17</v>
      </c>
      <c r="B18" s="72" t="s">
        <v>1157</v>
      </c>
      <c r="C18" s="73">
        <v>1</v>
      </c>
    </row>
    <row r="19" spans="1:4" hidden="1" x14ac:dyDescent="0.25">
      <c r="A19" s="73">
        <v>18</v>
      </c>
      <c r="B19" s="72" t="s">
        <v>1158</v>
      </c>
      <c r="C19" s="73">
        <v>1</v>
      </c>
    </row>
    <row r="20" spans="1:4" hidden="1" x14ac:dyDescent="0.25">
      <c r="A20" s="73">
        <v>19</v>
      </c>
      <c r="B20" s="72" t="s">
        <v>1159</v>
      </c>
      <c r="C20" s="73">
        <v>2</v>
      </c>
      <c r="D20" s="73" t="s">
        <v>1019</v>
      </c>
    </row>
    <row r="21" spans="1:4" hidden="1" x14ac:dyDescent="0.25">
      <c r="A21" s="73">
        <v>20</v>
      </c>
      <c r="B21" s="72" t="s">
        <v>1160</v>
      </c>
      <c r="C21" s="73">
        <v>1</v>
      </c>
    </row>
    <row r="22" spans="1:4" hidden="1" x14ac:dyDescent="0.25">
      <c r="A22" s="73">
        <v>21</v>
      </c>
      <c r="B22" s="72" t="s">
        <v>1161</v>
      </c>
      <c r="C22" s="73">
        <v>1</v>
      </c>
    </row>
    <row r="23" spans="1:4" hidden="1" x14ac:dyDescent="0.25">
      <c r="A23" s="73">
        <v>22</v>
      </c>
      <c r="B23" s="72" t="s">
        <v>1162</v>
      </c>
      <c r="C23" s="73">
        <v>1</v>
      </c>
    </row>
    <row r="24" spans="1:4" hidden="1" x14ac:dyDescent="0.25">
      <c r="A24" s="73">
        <v>23</v>
      </c>
      <c r="B24" s="71" t="s">
        <v>1163</v>
      </c>
      <c r="C24" s="73">
        <v>1</v>
      </c>
    </row>
    <row r="25" spans="1:4" hidden="1" x14ac:dyDescent="0.25">
      <c r="A25" s="73">
        <v>24</v>
      </c>
      <c r="B25" s="72" t="s">
        <v>1164</v>
      </c>
      <c r="C25" s="73">
        <v>1</v>
      </c>
      <c r="D25" s="73" t="s">
        <v>1019</v>
      </c>
    </row>
    <row r="26" spans="1:4" hidden="1" x14ac:dyDescent="0.25">
      <c r="A26" s="73">
        <v>25</v>
      </c>
      <c r="B26" s="72" t="s">
        <v>1165</v>
      </c>
      <c r="C26" s="73">
        <v>2</v>
      </c>
    </row>
    <row r="27" spans="1:4" hidden="1" x14ac:dyDescent="0.25">
      <c r="A27" s="73">
        <v>26</v>
      </c>
      <c r="B27" s="72" t="s">
        <v>1166</v>
      </c>
      <c r="C27" s="73">
        <v>2</v>
      </c>
    </row>
    <row r="28" spans="1:4" hidden="1" x14ac:dyDescent="0.25">
      <c r="A28" s="73">
        <v>27</v>
      </c>
      <c r="B28" s="71" t="s">
        <v>1167</v>
      </c>
      <c r="C28" s="73">
        <v>2</v>
      </c>
    </row>
    <row r="29" spans="1:4" hidden="1" x14ac:dyDescent="0.25">
      <c r="A29" s="73">
        <v>28</v>
      </c>
      <c r="B29" s="71" t="s">
        <v>1168</v>
      </c>
      <c r="C29" s="73">
        <v>1</v>
      </c>
    </row>
    <row r="30" spans="1:4" hidden="1" x14ac:dyDescent="0.25">
      <c r="A30" s="73">
        <v>29</v>
      </c>
      <c r="B30" s="72" t="s">
        <v>1169</v>
      </c>
      <c r="C30" s="73">
        <v>2</v>
      </c>
    </row>
    <row r="31" spans="1:4" hidden="1" x14ac:dyDescent="0.25">
      <c r="A31" s="73">
        <v>30</v>
      </c>
      <c r="B31" s="72" t="s">
        <v>1170</v>
      </c>
      <c r="C31" s="73">
        <v>1</v>
      </c>
    </row>
    <row r="32" spans="1:4" hidden="1" x14ac:dyDescent="0.25">
      <c r="A32" s="73">
        <v>31</v>
      </c>
      <c r="B32" s="72" t="s">
        <v>1171</v>
      </c>
      <c r="C32" s="73">
        <v>1</v>
      </c>
    </row>
    <row r="33" spans="1:4" hidden="1" x14ac:dyDescent="0.25">
      <c r="A33" s="73">
        <v>32</v>
      </c>
      <c r="B33" s="72" t="s">
        <v>1172</v>
      </c>
      <c r="C33" s="73">
        <v>2</v>
      </c>
    </row>
    <row r="34" spans="1:4" hidden="1" x14ac:dyDescent="0.25">
      <c r="A34" s="73">
        <v>33</v>
      </c>
      <c r="B34" s="72" t="s">
        <v>1173</v>
      </c>
      <c r="C34" s="73">
        <v>2</v>
      </c>
    </row>
    <row r="35" spans="1:4" hidden="1" x14ac:dyDescent="0.25">
      <c r="A35" s="73">
        <v>34</v>
      </c>
      <c r="B35" s="72" t="s">
        <v>1174</v>
      </c>
      <c r="C35" s="73">
        <v>2</v>
      </c>
    </row>
    <row r="36" spans="1:4" hidden="1" x14ac:dyDescent="0.25">
      <c r="A36" s="73">
        <v>35</v>
      </c>
      <c r="B36" s="72" t="s">
        <v>1175</v>
      </c>
      <c r="C36" s="73">
        <v>2</v>
      </c>
      <c r="D36" s="73" t="s">
        <v>1019</v>
      </c>
    </row>
    <row r="37" spans="1:4" hidden="1" x14ac:dyDescent="0.25">
      <c r="A37" s="73">
        <v>36</v>
      </c>
      <c r="B37" s="72" t="s">
        <v>1176</v>
      </c>
      <c r="C37" s="73">
        <v>2</v>
      </c>
      <c r="D37" s="73" t="s">
        <v>1019</v>
      </c>
    </row>
    <row r="38" spans="1:4" hidden="1" x14ac:dyDescent="0.25">
      <c r="A38" s="73">
        <v>37</v>
      </c>
      <c r="B38" s="72" t="s">
        <v>1177</v>
      </c>
      <c r="C38" s="73">
        <v>2</v>
      </c>
      <c r="D38" s="73" t="s">
        <v>1019</v>
      </c>
    </row>
    <row r="39" spans="1:4" hidden="1" x14ac:dyDescent="0.25">
      <c r="A39" s="73">
        <v>38</v>
      </c>
      <c r="B39" s="72" t="s">
        <v>1178</v>
      </c>
      <c r="C39" s="73">
        <v>2</v>
      </c>
      <c r="D39" s="73" t="s">
        <v>1019</v>
      </c>
    </row>
    <row r="40" spans="1:4" hidden="1" x14ac:dyDescent="0.25">
      <c r="A40" s="73">
        <v>39</v>
      </c>
      <c r="B40" s="72" t="s">
        <v>1179</v>
      </c>
      <c r="C40" s="73">
        <v>3</v>
      </c>
      <c r="D40" s="73" t="s">
        <v>1019</v>
      </c>
    </row>
    <row r="41" spans="1:4" hidden="1" x14ac:dyDescent="0.25">
      <c r="A41" s="73">
        <v>40</v>
      </c>
      <c r="B41" s="72" t="s">
        <v>1180</v>
      </c>
      <c r="C41" s="73">
        <v>2</v>
      </c>
      <c r="D41" s="73" t="s">
        <v>1019</v>
      </c>
    </row>
    <row r="42" spans="1:4" hidden="1" x14ac:dyDescent="0.25">
      <c r="A42" s="73">
        <v>41</v>
      </c>
      <c r="B42" s="72" t="s">
        <v>1181</v>
      </c>
      <c r="C42" s="73">
        <v>1</v>
      </c>
      <c r="D42" s="73" t="s">
        <v>1019</v>
      </c>
    </row>
    <row r="43" spans="1:4" hidden="1" x14ac:dyDescent="0.25">
      <c r="A43" s="73">
        <v>42</v>
      </c>
      <c r="B43" s="72" t="s">
        <v>1182</v>
      </c>
      <c r="C43" s="73">
        <v>2</v>
      </c>
      <c r="D43" s="73" t="s">
        <v>1019</v>
      </c>
    </row>
    <row r="44" spans="1:4" hidden="1" x14ac:dyDescent="0.25">
      <c r="A44" s="73">
        <v>43</v>
      </c>
      <c r="B44" s="72" t="s">
        <v>1183</v>
      </c>
      <c r="C44" s="73">
        <v>4</v>
      </c>
      <c r="D44" s="73" t="s">
        <v>1019</v>
      </c>
    </row>
    <row r="45" spans="1:4" hidden="1" x14ac:dyDescent="0.25">
      <c r="A45" s="73">
        <v>44</v>
      </c>
      <c r="B45" s="72" t="s">
        <v>1184</v>
      </c>
      <c r="C45" s="73">
        <v>1</v>
      </c>
      <c r="D45" s="73" t="s">
        <v>1019</v>
      </c>
    </row>
    <row r="46" spans="1:4" hidden="1" x14ac:dyDescent="0.25">
      <c r="A46" s="73">
        <v>45</v>
      </c>
      <c r="B46" s="72" t="s">
        <v>1185</v>
      </c>
      <c r="C46" s="73">
        <v>2</v>
      </c>
      <c r="D46" s="73" t="s">
        <v>1019</v>
      </c>
    </row>
    <row r="47" spans="1:4" hidden="1" x14ac:dyDescent="0.25">
      <c r="A47" s="73">
        <v>46</v>
      </c>
      <c r="B47" s="72" t="s">
        <v>1186</v>
      </c>
      <c r="C47" s="73">
        <v>16</v>
      </c>
      <c r="D47" s="73" t="s">
        <v>1019</v>
      </c>
    </row>
    <row r="48" spans="1:4" hidden="1" x14ac:dyDescent="0.25">
      <c r="A48" s="73">
        <v>47</v>
      </c>
      <c r="B48" s="72" t="s">
        <v>1187</v>
      </c>
      <c r="C48" s="73">
        <v>2</v>
      </c>
      <c r="D48" s="73" t="s">
        <v>1019</v>
      </c>
    </row>
    <row r="49" spans="1:4" hidden="1" x14ac:dyDescent="0.25">
      <c r="A49" s="73">
        <v>48</v>
      </c>
      <c r="B49" s="72" t="s">
        <v>1188</v>
      </c>
      <c r="C49" s="73">
        <v>8</v>
      </c>
      <c r="D49" s="73" t="s">
        <v>1019</v>
      </c>
    </row>
    <row r="50" spans="1:4" hidden="1" x14ac:dyDescent="0.25">
      <c r="A50" s="73">
        <v>49</v>
      </c>
      <c r="B50" s="72" t="s">
        <v>1189</v>
      </c>
      <c r="C50" s="73">
        <v>8</v>
      </c>
      <c r="D50" s="73" t="s">
        <v>1019</v>
      </c>
    </row>
    <row r="51" spans="1:4" hidden="1" x14ac:dyDescent="0.25">
      <c r="A51" s="73">
        <v>50</v>
      </c>
      <c r="B51" s="72" t="s">
        <v>1190</v>
      </c>
      <c r="C51" s="73">
        <v>2</v>
      </c>
      <c r="D51" s="73" t="s">
        <v>1019</v>
      </c>
    </row>
    <row r="52" spans="1:4" hidden="1" x14ac:dyDescent="0.25">
      <c r="A52" s="73">
        <v>51</v>
      </c>
      <c r="B52" s="72" t="s">
        <v>1126</v>
      </c>
      <c r="C52" s="73">
        <v>6</v>
      </c>
      <c r="D52" s="73" t="s">
        <v>1019</v>
      </c>
    </row>
    <row r="53" spans="1:4" hidden="1" x14ac:dyDescent="0.25">
      <c r="A53" s="73">
        <v>52</v>
      </c>
      <c r="B53" s="72" t="s">
        <v>1127</v>
      </c>
      <c r="C53" s="73">
        <v>4</v>
      </c>
      <c r="D53" s="73" t="s">
        <v>1019</v>
      </c>
    </row>
    <row r="54" spans="1:4" hidden="1" x14ac:dyDescent="0.25">
      <c r="A54" s="73">
        <v>53</v>
      </c>
      <c r="B54" s="72" t="s">
        <v>1128</v>
      </c>
      <c r="C54" s="73">
        <v>2</v>
      </c>
      <c r="D54" s="73" t="s">
        <v>1019</v>
      </c>
    </row>
    <row r="55" spans="1:4" hidden="1" x14ac:dyDescent="0.25">
      <c r="A55" s="73">
        <v>54</v>
      </c>
      <c r="B55" s="72" t="s">
        <v>1129</v>
      </c>
      <c r="C55" s="73">
        <v>2</v>
      </c>
      <c r="D55" s="73" t="s">
        <v>1019</v>
      </c>
    </row>
    <row r="56" spans="1:4" hidden="1" x14ac:dyDescent="0.25">
      <c r="A56" s="73">
        <v>55</v>
      </c>
      <c r="B56" s="72" t="s">
        <v>1130</v>
      </c>
      <c r="C56" s="73">
        <v>6</v>
      </c>
      <c r="D56" s="73" t="s">
        <v>1019</v>
      </c>
    </row>
    <row r="57" spans="1:4" hidden="1" x14ac:dyDescent="0.25">
      <c r="A57" s="73">
        <v>56</v>
      </c>
      <c r="B57" s="72" t="s">
        <v>1131</v>
      </c>
      <c r="C57" s="73">
        <v>4</v>
      </c>
      <c r="D57" s="73" t="s">
        <v>1019</v>
      </c>
    </row>
    <row r="58" spans="1:4" hidden="1" x14ac:dyDescent="0.25">
      <c r="A58" s="73">
        <v>57</v>
      </c>
      <c r="B58" s="72" t="s">
        <v>1132</v>
      </c>
      <c r="C58" s="73">
        <v>12</v>
      </c>
      <c r="D58" s="73" t="s">
        <v>1019</v>
      </c>
    </row>
    <row r="59" spans="1:4" hidden="1" x14ac:dyDescent="0.25">
      <c r="A59" s="73">
        <v>58</v>
      </c>
      <c r="B59" s="72" t="s">
        <v>613</v>
      </c>
      <c r="C59" s="73">
        <v>4</v>
      </c>
      <c r="D59" s="73" t="s">
        <v>1019</v>
      </c>
    </row>
    <row r="60" spans="1:4" hidden="1" x14ac:dyDescent="0.25">
      <c r="A60" s="73">
        <v>59</v>
      </c>
      <c r="B60" s="72" t="s">
        <v>1133</v>
      </c>
      <c r="C60" s="73">
        <v>9</v>
      </c>
      <c r="D60" s="73" t="s">
        <v>1019</v>
      </c>
    </row>
    <row r="61" spans="1:4" hidden="1" x14ac:dyDescent="0.25">
      <c r="A61" s="73">
        <v>60</v>
      </c>
      <c r="B61" s="72" t="s">
        <v>318</v>
      </c>
      <c r="C61" s="73">
        <v>10</v>
      </c>
      <c r="D61" s="73" t="s">
        <v>1019</v>
      </c>
    </row>
    <row r="62" spans="1:4" hidden="1" x14ac:dyDescent="0.25">
      <c r="A62" s="73">
        <v>61</v>
      </c>
      <c r="B62" s="72" t="s">
        <v>1134</v>
      </c>
      <c r="C62" s="73">
        <v>2</v>
      </c>
      <c r="D62" s="73" t="s">
        <v>1019</v>
      </c>
    </row>
    <row r="63" spans="1:4" hidden="1" x14ac:dyDescent="0.25">
      <c r="A63" s="73">
        <v>62</v>
      </c>
      <c r="B63" s="71" t="s">
        <v>1135</v>
      </c>
      <c r="C63" s="73">
        <v>22</v>
      </c>
      <c r="D63" s="73" t="s">
        <v>1019</v>
      </c>
    </row>
    <row r="64" spans="1:4" hidden="1" x14ac:dyDescent="0.25">
      <c r="A64" s="73">
        <v>63</v>
      </c>
      <c r="B64" s="72" t="s">
        <v>304</v>
      </c>
      <c r="C64" s="73">
        <v>11</v>
      </c>
      <c r="D64" s="73" t="s">
        <v>1019</v>
      </c>
    </row>
    <row r="65" spans="1:4" hidden="1" x14ac:dyDescent="0.25">
      <c r="A65" s="73">
        <v>64</v>
      </c>
      <c r="B65" s="72" t="s">
        <v>1136</v>
      </c>
      <c r="C65" s="73">
        <v>2</v>
      </c>
      <c r="D65" s="73" t="s">
        <v>1019</v>
      </c>
    </row>
    <row r="66" spans="1:4" hidden="1" x14ac:dyDescent="0.25">
      <c r="A66" s="73">
        <v>65</v>
      </c>
      <c r="B66" s="72" t="s">
        <v>1139</v>
      </c>
      <c r="C66" s="73">
        <v>20</v>
      </c>
      <c r="D66" s="73" t="s">
        <v>1019</v>
      </c>
    </row>
    <row r="67" spans="1:4" hidden="1" x14ac:dyDescent="0.25">
      <c r="A67" s="73">
        <v>66</v>
      </c>
      <c r="B67" s="72" t="s">
        <v>1138</v>
      </c>
      <c r="C67" s="73">
        <v>26</v>
      </c>
      <c r="D67" s="73" t="s">
        <v>1019</v>
      </c>
    </row>
    <row r="68" spans="1:4" hidden="1" x14ac:dyDescent="0.25">
      <c r="A68" s="73">
        <v>67</v>
      </c>
      <c r="B68" s="72" t="s">
        <v>1137</v>
      </c>
      <c r="C68" s="73">
        <v>4</v>
      </c>
      <c r="D68" s="73" t="s">
        <v>1019</v>
      </c>
    </row>
    <row r="69" spans="1:4" hidden="1" x14ac:dyDescent="0.25">
      <c r="A69" s="73">
        <v>68</v>
      </c>
      <c r="B69" s="72" t="s">
        <v>1140</v>
      </c>
      <c r="C69" s="73">
        <v>2</v>
      </c>
      <c r="D69" s="73" t="s">
        <v>1019</v>
      </c>
    </row>
    <row r="70" spans="1:4" hidden="1" x14ac:dyDescent="0.25">
      <c r="A70" s="73">
        <v>69</v>
      </c>
      <c r="B70" s="71" t="s">
        <v>1141</v>
      </c>
      <c r="C70" s="73">
        <v>2</v>
      </c>
      <c r="D70" s="73" t="s">
        <v>1019</v>
      </c>
    </row>
    <row r="71" spans="1:4" hidden="1" x14ac:dyDescent="0.25">
      <c r="A71" s="73">
        <v>70</v>
      </c>
      <c r="B71" s="72" t="s">
        <v>1142</v>
      </c>
      <c r="C71" s="73">
        <v>2</v>
      </c>
      <c r="D71" s="73" t="s">
        <v>1019</v>
      </c>
    </row>
    <row r="72" spans="1:4" hidden="1" x14ac:dyDescent="0.25">
      <c r="A72" s="73">
        <v>71</v>
      </c>
      <c r="B72" s="72" t="s">
        <v>1191</v>
      </c>
      <c r="C72" s="73">
        <v>1</v>
      </c>
      <c r="D72" s="73" t="s">
        <v>1019</v>
      </c>
    </row>
    <row r="73" spans="1:4" hidden="1" x14ac:dyDescent="0.25">
      <c r="A73" s="73">
        <v>72</v>
      </c>
      <c r="B73" s="72" t="s">
        <v>566</v>
      </c>
      <c r="C73" s="73">
        <v>2</v>
      </c>
      <c r="D73" s="73" t="s">
        <v>1019</v>
      </c>
    </row>
    <row r="74" spans="1:4" hidden="1" x14ac:dyDescent="0.25">
      <c r="A74" s="73">
        <v>73</v>
      </c>
      <c r="B74" s="72" t="s">
        <v>567</v>
      </c>
      <c r="C74" s="73">
        <v>2</v>
      </c>
      <c r="D74" s="73" t="s">
        <v>1019</v>
      </c>
    </row>
    <row r="75" spans="1:4" hidden="1" x14ac:dyDescent="0.25">
      <c r="A75" s="73">
        <v>74</v>
      </c>
      <c r="B75" s="72" t="s">
        <v>1192</v>
      </c>
      <c r="C75" s="73">
        <v>1</v>
      </c>
      <c r="D75" s="73" t="s">
        <v>1019</v>
      </c>
    </row>
    <row r="76" spans="1:4" hidden="1" x14ac:dyDescent="0.25">
      <c r="A76" s="73">
        <v>75</v>
      </c>
      <c r="B76" s="72" t="s">
        <v>1193</v>
      </c>
      <c r="C76" s="73">
        <v>1</v>
      </c>
    </row>
    <row r="77" spans="1:4" hidden="1" x14ac:dyDescent="0.25">
      <c r="A77" s="73">
        <v>76</v>
      </c>
      <c r="B77" s="72" t="s">
        <v>568</v>
      </c>
      <c r="C77" s="73">
        <v>5</v>
      </c>
    </row>
    <row r="78" spans="1:4" hidden="1" x14ac:dyDescent="0.25">
      <c r="A78" s="73">
        <v>77</v>
      </c>
      <c r="B78" s="72" t="s">
        <v>984</v>
      </c>
      <c r="C78" s="73">
        <v>1</v>
      </c>
    </row>
    <row r="79" spans="1:4" hidden="1" x14ac:dyDescent="0.25">
      <c r="A79" s="73">
        <v>78</v>
      </c>
      <c r="B79" s="72" t="s">
        <v>303</v>
      </c>
      <c r="C79" s="73">
        <v>20</v>
      </c>
    </row>
    <row r="80" spans="1:4" hidden="1" x14ac:dyDescent="0.25">
      <c r="A80" s="73">
        <v>79</v>
      </c>
      <c r="B80" s="72" t="s">
        <v>326</v>
      </c>
      <c r="C80" s="73">
        <v>38</v>
      </c>
    </row>
    <row r="81" spans="1:4" hidden="1" x14ac:dyDescent="0.25">
      <c r="A81" s="73">
        <v>80</v>
      </c>
      <c r="B81" s="72" t="s">
        <v>985</v>
      </c>
      <c r="C81" s="73">
        <v>2</v>
      </c>
    </row>
    <row r="82" spans="1:4" hidden="1" x14ac:dyDescent="0.25">
      <c r="A82" s="73">
        <v>81</v>
      </c>
      <c r="B82" s="72" t="s">
        <v>608</v>
      </c>
      <c r="C82" s="73">
        <v>3</v>
      </c>
    </row>
    <row r="83" spans="1:4" hidden="1" x14ac:dyDescent="0.25">
      <c r="A83" s="73">
        <v>82</v>
      </c>
      <c r="B83" s="71" t="s">
        <v>569</v>
      </c>
      <c r="C83" s="73">
        <v>3</v>
      </c>
    </row>
    <row r="84" spans="1:4" hidden="1" x14ac:dyDescent="0.25">
      <c r="A84" s="73">
        <v>83</v>
      </c>
      <c r="B84" s="72" t="s">
        <v>609</v>
      </c>
      <c r="C84" s="73">
        <v>3</v>
      </c>
    </row>
    <row r="85" spans="1:4" hidden="1" x14ac:dyDescent="0.25">
      <c r="A85" s="73">
        <v>84</v>
      </c>
      <c r="B85" s="72" t="s">
        <v>1194</v>
      </c>
      <c r="C85" s="73">
        <v>1</v>
      </c>
      <c r="D85" s="73" t="s">
        <v>1019</v>
      </c>
    </row>
    <row r="86" spans="1:4" hidden="1" x14ac:dyDescent="0.25">
      <c r="A86" s="73">
        <v>85</v>
      </c>
      <c r="B86" s="72" t="s">
        <v>1195</v>
      </c>
      <c r="C86" s="73">
        <v>1</v>
      </c>
      <c r="D86" s="73" t="s">
        <v>1019</v>
      </c>
    </row>
    <row r="87" spans="1:4" hidden="1" x14ac:dyDescent="0.25">
      <c r="A87" s="73">
        <v>86</v>
      </c>
      <c r="B87" s="72" t="s">
        <v>1196</v>
      </c>
      <c r="C87" s="73">
        <v>1</v>
      </c>
      <c r="D87" s="73" t="s">
        <v>1019</v>
      </c>
    </row>
    <row r="88" spans="1:4" hidden="1" x14ac:dyDescent="0.25">
      <c r="A88" s="73">
        <v>87</v>
      </c>
      <c r="B88" s="72" t="s">
        <v>1370</v>
      </c>
      <c r="C88" s="73">
        <v>8</v>
      </c>
      <c r="D88" s="73" t="s">
        <v>1019</v>
      </c>
    </row>
    <row r="89" spans="1:4" x14ac:dyDescent="0.25">
      <c r="A89" s="73">
        <v>618</v>
      </c>
      <c r="B89" s="71" t="s">
        <v>1573</v>
      </c>
      <c r="C89" s="73">
        <v>6</v>
      </c>
      <c r="D89" s="73" t="s">
        <v>1018</v>
      </c>
    </row>
    <row r="90" spans="1:4" x14ac:dyDescent="0.25">
      <c r="A90" s="73">
        <v>574</v>
      </c>
      <c r="B90" s="72" t="s">
        <v>539</v>
      </c>
      <c r="C90" s="73">
        <v>0.12</v>
      </c>
      <c r="D90" s="73" t="s">
        <v>1018</v>
      </c>
    </row>
    <row r="91" spans="1:4" hidden="1" x14ac:dyDescent="0.25">
      <c r="A91" s="73">
        <v>90</v>
      </c>
      <c r="B91" s="72" t="s">
        <v>1197</v>
      </c>
      <c r="C91" s="73">
        <v>1</v>
      </c>
      <c r="D91" s="73" t="s">
        <v>1019</v>
      </c>
    </row>
    <row r="92" spans="1:4" hidden="1" x14ac:dyDescent="0.25">
      <c r="A92" s="73">
        <v>91</v>
      </c>
      <c r="B92" s="72" t="s">
        <v>1858</v>
      </c>
      <c r="C92" s="73">
        <v>1</v>
      </c>
      <c r="D92" s="73" t="s">
        <v>1019</v>
      </c>
    </row>
    <row r="93" spans="1:4" hidden="1" x14ac:dyDescent="0.25">
      <c r="A93" s="73">
        <v>92</v>
      </c>
      <c r="B93" s="72" t="s">
        <v>1355</v>
      </c>
      <c r="C93" s="73">
        <v>34</v>
      </c>
      <c r="D93" s="73" t="s">
        <v>1019</v>
      </c>
    </row>
    <row r="94" spans="1:4" x14ac:dyDescent="0.25">
      <c r="A94" s="73">
        <v>417</v>
      </c>
      <c r="B94" s="72" t="s">
        <v>1095</v>
      </c>
      <c r="C94" s="73">
        <v>0.5</v>
      </c>
      <c r="D94" s="73" t="s">
        <v>1018</v>
      </c>
    </row>
    <row r="95" spans="1:4" x14ac:dyDescent="0.25">
      <c r="A95" s="73">
        <v>720</v>
      </c>
      <c r="B95" s="72" t="s">
        <v>1031</v>
      </c>
      <c r="C95" s="73">
        <v>3.1</v>
      </c>
      <c r="D95" s="73" t="s">
        <v>1018</v>
      </c>
    </row>
    <row r="96" spans="1:4" x14ac:dyDescent="0.25">
      <c r="A96" s="73">
        <v>728</v>
      </c>
      <c r="B96" s="71" t="s">
        <v>196</v>
      </c>
      <c r="C96" s="73">
        <v>0.6</v>
      </c>
      <c r="D96" s="73" t="s">
        <v>1018</v>
      </c>
    </row>
    <row r="97" spans="1:4" x14ac:dyDescent="0.25">
      <c r="A97" s="73">
        <v>575</v>
      </c>
      <c r="B97" s="72" t="s">
        <v>975</v>
      </c>
      <c r="C97" s="73">
        <v>0.9</v>
      </c>
      <c r="D97" s="73" t="s">
        <v>1018</v>
      </c>
    </row>
    <row r="98" spans="1:4" hidden="1" x14ac:dyDescent="0.25">
      <c r="A98" s="73">
        <v>97</v>
      </c>
      <c r="B98" s="72" t="s">
        <v>1198</v>
      </c>
      <c r="C98" s="73">
        <v>1</v>
      </c>
      <c r="D98" s="73" t="s">
        <v>1019</v>
      </c>
    </row>
    <row r="99" spans="1:4" hidden="1" x14ac:dyDescent="0.25">
      <c r="A99" s="73">
        <v>98</v>
      </c>
      <c r="B99" s="72" t="s">
        <v>1857</v>
      </c>
      <c r="C99" s="73">
        <v>3</v>
      </c>
      <c r="D99" s="73" t="s">
        <v>1019</v>
      </c>
    </row>
    <row r="100" spans="1:4" hidden="1" x14ac:dyDescent="0.25">
      <c r="A100" s="73">
        <v>99</v>
      </c>
      <c r="B100" s="72" t="s">
        <v>1835</v>
      </c>
      <c r="C100" s="73">
        <v>14</v>
      </c>
      <c r="D100" s="73" t="s">
        <v>1019</v>
      </c>
    </row>
    <row r="101" spans="1:4" hidden="1" x14ac:dyDescent="0.25">
      <c r="A101" s="73">
        <v>100</v>
      </c>
      <c r="B101" s="72" t="s">
        <v>1089</v>
      </c>
      <c r="C101" s="73">
        <v>43</v>
      </c>
      <c r="D101" s="73" t="s">
        <v>1019</v>
      </c>
    </row>
    <row r="102" spans="1:4" hidden="1" x14ac:dyDescent="0.25">
      <c r="A102" s="73">
        <v>101</v>
      </c>
      <c r="B102" s="72" t="s">
        <v>1090</v>
      </c>
      <c r="C102" s="73">
        <v>65</v>
      </c>
      <c r="D102" s="73" t="s">
        <v>1019</v>
      </c>
    </row>
    <row r="103" spans="1:4" hidden="1" x14ac:dyDescent="0.25">
      <c r="A103" s="73">
        <v>102</v>
      </c>
      <c r="B103" s="72" t="s">
        <v>1838</v>
      </c>
      <c r="C103" s="73">
        <v>5</v>
      </c>
      <c r="D103" s="73" t="s">
        <v>1019</v>
      </c>
    </row>
    <row r="104" spans="1:4" hidden="1" x14ac:dyDescent="0.25">
      <c r="A104" s="73">
        <v>103</v>
      </c>
      <c r="B104" s="72" t="s">
        <v>1808</v>
      </c>
      <c r="C104" s="73">
        <v>1</v>
      </c>
      <c r="D104" s="73" t="s">
        <v>1019</v>
      </c>
    </row>
    <row r="105" spans="1:4" hidden="1" x14ac:dyDescent="0.25">
      <c r="A105" s="73">
        <v>104</v>
      </c>
      <c r="B105" s="72" t="s">
        <v>1201</v>
      </c>
      <c r="C105" s="73">
        <v>1</v>
      </c>
      <c r="D105" s="73" t="s">
        <v>1019</v>
      </c>
    </row>
    <row r="106" spans="1:4" hidden="1" x14ac:dyDescent="0.25">
      <c r="A106" s="73">
        <v>105</v>
      </c>
      <c r="B106" s="72" t="s">
        <v>1908</v>
      </c>
      <c r="C106" s="73">
        <v>9</v>
      </c>
      <c r="D106" s="73" t="s">
        <v>1019</v>
      </c>
    </row>
    <row r="107" spans="1:4" hidden="1" x14ac:dyDescent="0.25">
      <c r="A107" s="73">
        <v>106</v>
      </c>
      <c r="B107" s="72" t="s">
        <v>1200</v>
      </c>
      <c r="C107" s="73">
        <v>2</v>
      </c>
      <c r="D107" s="73" t="s">
        <v>1019</v>
      </c>
    </row>
    <row r="108" spans="1:4" hidden="1" x14ac:dyDescent="0.25">
      <c r="A108" s="73">
        <v>107</v>
      </c>
      <c r="B108" s="72" t="s">
        <v>1909</v>
      </c>
      <c r="C108" s="73">
        <v>3</v>
      </c>
      <c r="D108" s="73" t="s">
        <v>1019</v>
      </c>
    </row>
    <row r="109" spans="1:4" x14ac:dyDescent="0.25">
      <c r="A109" s="73">
        <v>410</v>
      </c>
      <c r="B109" s="71" t="s">
        <v>1011</v>
      </c>
      <c r="C109" s="73">
        <v>1.2</v>
      </c>
      <c r="D109" s="73" t="s">
        <v>1018</v>
      </c>
    </row>
    <row r="110" spans="1:4" hidden="1" x14ac:dyDescent="0.25">
      <c r="A110" s="73">
        <v>109</v>
      </c>
      <c r="B110" s="72" t="s">
        <v>1910</v>
      </c>
      <c r="C110" s="73">
        <v>3</v>
      </c>
      <c r="D110" s="73" t="s">
        <v>1019</v>
      </c>
    </row>
    <row r="111" spans="1:4" ht="30" hidden="1" x14ac:dyDescent="0.25">
      <c r="A111" s="73">
        <v>110</v>
      </c>
      <c r="B111" s="71" t="s">
        <v>1911</v>
      </c>
      <c r="C111" s="73">
        <v>1</v>
      </c>
      <c r="D111" s="73" t="s">
        <v>1019</v>
      </c>
    </row>
    <row r="112" spans="1:4" hidden="1" x14ac:dyDescent="0.25">
      <c r="A112" s="73">
        <v>111</v>
      </c>
      <c r="B112" s="72" t="s">
        <v>1885</v>
      </c>
      <c r="C112" s="73">
        <v>2</v>
      </c>
      <c r="D112" s="73" t="s">
        <v>1019</v>
      </c>
    </row>
    <row r="113" spans="1:4" hidden="1" x14ac:dyDescent="0.25">
      <c r="A113" s="73">
        <v>112</v>
      </c>
      <c r="B113" s="72" t="s">
        <v>1202</v>
      </c>
      <c r="C113" s="73">
        <v>1</v>
      </c>
      <c r="D113" s="73" t="s">
        <v>1019</v>
      </c>
    </row>
    <row r="114" spans="1:4" hidden="1" x14ac:dyDescent="0.25">
      <c r="A114" s="73">
        <v>113</v>
      </c>
      <c r="B114" s="72" t="s">
        <v>1203</v>
      </c>
      <c r="C114" s="73">
        <v>1</v>
      </c>
      <c r="D114" s="73" t="s">
        <v>1019</v>
      </c>
    </row>
    <row r="115" spans="1:4" hidden="1" x14ac:dyDescent="0.25">
      <c r="A115" s="73">
        <v>114</v>
      </c>
      <c r="B115" s="72" t="s">
        <v>1204</v>
      </c>
      <c r="C115" s="73">
        <v>5</v>
      </c>
      <c r="D115" s="73" t="s">
        <v>1019</v>
      </c>
    </row>
    <row r="116" spans="1:4" hidden="1" x14ac:dyDescent="0.25">
      <c r="A116" s="73">
        <v>115</v>
      </c>
      <c r="B116" s="71" t="s">
        <v>1205</v>
      </c>
      <c r="C116" s="73">
        <v>49</v>
      </c>
      <c r="D116" s="73" t="s">
        <v>1019</v>
      </c>
    </row>
    <row r="117" spans="1:4" hidden="1" x14ac:dyDescent="0.25">
      <c r="A117" s="73">
        <v>116</v>
      </c>
      <c r="B117" s="72" t="s">
        <v>1206</v>
      </c>
      <c r="C117" s="73">
        <v>1</v>
      </c>
      <c r="D117" s="73" t="s">
        <v>1019</v>
      </c>
    </row>
    <row r="118" spans="1:4" x14ac:dyDescent="0.25">
      <c r="A118" s="73">
        <v>108</v>
      </c>
      <c r="B118" s="72" t="s">
        <v>1882</v>
      </c>
      <c r="C118" s="73">
        <v>0.28000000000000003</v>
      </c>
      <c r="D118" s="73" t="s">
        <v>1018</v>
      </c>
    </row>
    <row r="119" spans="1:4" x14ac:dyDescent="0.25">
      <c r="A119" s="73">
        <v>576</v>
      </c>
      <c r="B119" s="72" t="s">
        <v>972</v>
      </c>
      <c r="C119" s="73">
        <v>0.08</v>
      </c>
      <c r="D119" s="73" t="s">
        <v>1018</v>
      </c>
    </row>
    <row r="120" spans="1:4" x14ac:dyDescent="0.25">
      <c r="A120" s="73">
        <v>157</v>
      </c>
      <c r="B120" s="72" t="s">
        <v>1898</v>
      </c>
      <c r="C120" s="73">
        <v>0.4</v>
      </c>
      <c r="D120" s="73" t="s">
        <v>1018</v>
      </c>
    </row>
    <row r="121" spans="1:4" hidden="1" x14ac:dyDescent="0.25">
      <c r="A121" s="73">
        <v>120</v>
      </c>
      <c r="B121" s="72" t="s">
        <v>1207</v>
      </c>
      <c r="C121" s="73">
        <v>1</v>
      </c>
      <c r="D121" s="73" t="s">
        <v>1019</v>
      </c>
    </row>
    <row r="122" spans="1:4" hidden="1" x14ac:dyDescent="0.25">
      <c r="A122" s="73">
        <v>121</v>
      </c>
      <c r="B122" s="72" t="s">
        <v>1208</v>
      </c>
      <c r="C122" s="73">
        <v>1</v>
      </c>
      <c r="D122" s="73" t="s">
        <v>1019</v>
      </c>
    </row>
    <row r="123" spans="1:4" hidden="1" x14ac:dyDescent="0.25">
      <c r="A123" s="73">
        <v>122</v>
      </c>
      <c r="B123" s="72" t="s">
        <v>605</v>
      </c>
      <c r="C123" s="73">
        <v>1</v>
      </c>
    </row>
    <row r="124" spans="1:4" hidden="1" x14ac:dyDescent="0.25">
      <c r="A124" s="73">
        <v>123</v>
      </c>
      <c r="B124" s="72" t="s">
        <v>606</v>
      </c>
      <c r="C124" s="73">
        <v>1</v>
      </c>
    </row>
    <row r="125" spans="1:4" hidden="1" x14ac:dyDescent="0.25">
      <c r="A125" s="73">
        <v>124</v>
      </c>
      <c r="B125" s="72" t="s">
        <v>1209</v>
      </c>
      <c r="C125" s="73">
        <v>1</v>
      </c>
      <c r="D125" s="73" t="s">
        <v>1019</v>
      </c>
    </row>
    <row r="126" spans="1:4" hidden="1" x14ac:dyDescent="0.25">
      <c r="A126" s="73">
        <v>125</v>
      </c>
      <c r="B126" s="71" t="s">
        <v>1210</v>
      </c>
      <c r="C126" s="73">
        <v>1</v>
      </c>
      <c r="D126" s="73" t="s">
        <v>1019</v>
      </c>
    </row>
    <row r="127" spans="1:4" hidden="1" x14ac:dyDescent="0.25">
      <c r="A127" s="73">
        <v>126</v>
      </c>
      <c r="B127" s="72" t="s">
        <v>1211</v>
      </c>
      <c r="C127" s="73">
        <v>1</v>
      </c>
      <c r="D127" s="73" t="s">
        <v>1019</v>
      </c>
    </row>
    <row r="128" spans="1:4" hidden="1" x14ac:dyDescent="0.25">
      <c r="A128" s="73">
        <v>127</v>
      </c>
      <c r="B128" s="72" t="s">
        <v>1886</v>
      </c>
      <c r="C128" s="73">
        <v>2</v>
      </c>
      <c r="D128" s="73" t="s">
        <v>1019</v>
      </c>
    </row>
    <row r="129" spans="1:4" hidden="1" x14ac:dyDescent="0.25">
      <c r="A129" s="73">
        <v>128</v>
      </c>
      <c r="B129" s="72" t="s">
        <v>1887</v>
      </c>
      <c r="C129" s="73">
        <v>1</v>
      </c>
      <c r="D129" s="73" t="s">
        <v>1019</v>
      </c>
    </row>
    <row r="130" spans="1:4" hidden="1" x14ac:dyDescent="0.25">
      <c r="A130" s="73">
        <v>129</v>
      </c>
      <c r="B130" s="72" t="s">
        <v>1107</v>
      </c>
      <c r="C130" s="73">
        <v>9</v>
      </c>
      <c r="D130" s="73" t="s">
        <v>1019</v>
      </c>
    </row>
    <row r="131" spans="1:4" ht="30" hidden="1" x14ac:dyDescent="0.25">
      <c r="A131" s="73">
        <v>130</v>
      </c>
      <c r="B131" s="71" t="s">
        <v>1212</v>
      </c>
      <c r="C131" s="73">
        <v>1</v>
      </c>
      <c r="D131" s="73" t="s">
        <v>1019</v>
      </c>
    </row>
    <row r="132" spans="1:4" hidden="1" x14ac:dyDescent="0.25">
      <c r="A132" s="73">
        <v>131</v>
      </c>
      <c r="B132" s="72" t="s">
        <v>1213</v>
      </c>
      <c r="C132" s="73">
        <v>8</v>
      </c>
    </row>
    <row r="133" spans="1:4" hidden="1" x14ac:dyDescent="0.25">
      <c r="A133" s="73">
        <v>132</v>
      </c>
      <c r="B133" s="72" t="s">
        <v>615</v>
      </c>
      <c r="C133" s="73">
        <v>4</v>
      </c>
    </row>
    <row r="134" spans="1:4" hidden="1" x14ac:dyDescent="0.25">
      <c r="A134" s="73">
        <v>133</v>
      </c>
      <c r="B134" s="71" t="s">
        <v>603</v>
      </c>
      <c r="C134" s="73" t="s">
        <v>604</v>
      </c>
    </row>
    <row r="135" spans="1:4" hidden="1" x14ac:dyDescent="0.25">
      <c r="A135" s="73">
        <v>134</v>
      </c>
      <c r="B135" s="72" t="s">
        <v>602</v>
      </c>
      <c r="C135" s="73">
        <v>1</v>
      </c>
      <c r="D135" s="73" t="s">
        <v>1019</v>
      </c>
    </row>
    <row r="136" spans="1:4" hidden="1" x14ac:dyDescent="0.25">
      <c r="A136" s="73">
        <v>135</v>
      </c>
      <c r="B136" s="72" t="s">
        <v>1214</v>
      </c>
      <c r="C136" s="73">
        <v>1</v>
      </c>
      <c r="D136" s="73" t="s">
        <v>1019</v>
      </c>
    </row>
    <row r="137" spans="1:4" hidden="1" x14ac:dyDescent="0.25">
      <c r="A137" s="73">
        <v>136</v>
      </c>
      <c r="B137" s="72" t="s">
        <v>1859</v>
      </c>
      <c r="C137" s="73">
        <v>1</v>
      </c>
      <c r="D137" s="73" t="s">
        <v>1019</v>
      </c>
    </row>
    <row r="138" spans="1:4" hidden="1" x14ac:dyDescent="0.25">
      <c r="A138" s="73">
        <v>137</v>
      </c>
      <c r="B138" s="72" t="s">
        <v>1892</v>
      </c>
      <c r="C138" s="73">
        <v>3</v>
      </c>
      <c r="D138" s="73" t="s">
        <v>1019</v>
      </c>
    </row>
    <row r="139" spans="1:4" x14ac:dyDescent="0.25">
      <c r="A139" s="73">
        <v>351</v>
      </c>
      <c r="B139" s="72" t="s">
        <v>1916</v>
      </c>
      <c r="C139" s="73">
        <v>0.65</v>
      </c>
      <c r="D139" s="73" t="s">
        <v>1018</v>
      </c>
    </row>
    <row r="140" spans="1:4" hidden="1" x14ac:dyDescent="0.25">
      <c r="A140" s="73">
        <v>139</v>
      </c>
      <c r="B140" s="72" t="s">
        <v>1860</v>
      </c>
      <c r="C140" s="73">
        <v>1</v>
      </c>
      <c r="D140" s="73" t="s">
        <v>1019</v>
      </c>
    </row>
    <row r="141" spans="1:4" hidden="1" x14ac:dyDescent="0.25">
      <c r="A141" s="73">
        <v>140</v>
      </c>
      <c r="B141" s="72" t="s">
        <v>1893</v>
      </c>
      <c r="C141" s="73">
        <v>1</v>
      </c>
      <c r="D141" s="73" t="s">
        <v>1019</v>
      </c>
    </row>
    <row r="142" spans="1:4" hidden="1" x14ac:dyDescent="0.25">
      <c r="A142" s="73">
        <v>141</v>
      </c>
      <c r="B142" s="72" t="s">
        <v>1861</v>
      </c>
      <c r="C142" s="73">
        <v>1</v>
      </c>
      <c r="D142" s="73" t="s">
        <v>1019</v>
      </c>
    </row>
    <row r="143" spans="1:4" hidden="1" x14ac:dyDescent="0.25">
      <c r="A143" s="73">
        <v>142</v>
      </c>
      <c r="B143" s="72" t="s">
        <v>1912</v>
      </c>
      <c r="C143" s="73">
        <v>1</v>
      </c>
      <c r="D143" s="73" t="s">
        <v>1019</v>
      </c>
    </row>
    <row r="144" spans="1:4" hidden="1" x14ac:dyDescent="0.25">
      <c r="A144" s="73">
        <v>143</v>
      </c>
      <c r="B144" s="72" t="s">
        <v>1360</v>
      </c>
      <c r="C144" s="73">
        <v>24</v>
      </c>
      <c r="D144" s="73" t="s">
        <v>1019</v>
      </c>
    </row>
    <row r="145" spans="1:4" x14ac:dyDescent="0.25">
      <c r="A145" s="73">
        <v>430</v>
      </c>
      <c r="B145" s="72" t="s">
        <v>1919</v>
      </c>
      <c r="C145" s="73">
        <v>1.35</v>
      </c>
      <c r="D145" s="73" t="s">
        <v>1018</v>
      </c>
    </row>
    <row r="146" spans="1:4" hidden="1" x14ac:dyDescent="0.25">
      <c r="A146" s="73">
        <v>145</v>
      </c>
      <c r="B146" s="72" t="s">
        <v>1862</v>
      </c>
      <c r="C146" s="73">
        <v>1</v>
      </c>
      <c r="D146" s="73" t="s">
        <v>1019</v>
      </c>
    </row>
    <row r="147" spans="1:4" hidden="1" x14ac:dyDescent="0.25">
      <c r="A147" s="73">
        <v>146</v>
      </c>
      <c r="B147" s="72" t="s">
        <v>33</v>
      </c>
      <c r="C147" s="73">
        <v>1</v>
      </c>
      <c r="D147" s="73" t="s">
        <v>1019</v>
      </c>
    </row>
    <row r="148" spans="1:4" hidden="1" x14ac:dyDescent="0.25">
      <c r="A148" s="73">
        <v>147</v>
      </c>
      <c r="B148" s="71" t="s">
        <v>1373</v>
      </c>
      <c r="C148" s="73">
        <v>5</v>
      </c>
      <c r="D148" s="73" t="s">
        <v>1019</v>
      </c>
    </row>
    <row r="149" spans="1:4" hidden="1" x14ac:dyDescent="0.25">
      <c r="A149" s="73">
        <v>148</v>
      </c>
      <c r="B149" s="72" t="s">
        <v>1863</v>
      </c>
      <c r="C149" s="73">
        <v>1</v>
      </c>
      <c r="D149" s="73" t="s">
        <v>1019</v>
      </c>
    </row>
    <row r="150" spans="1:4" hidden="1" x14ac:dyDescent="0.25">
      <c r="A150" s="73">
        <v>149</v>
      </c>
      <c r="B150" s="72" t="s">
        <v>1913</v>
      </c>
      <c r="C150" s="73">
        <v>6</v>
      </c>
      <c r="D150" s="73" t="s">
        <v>1019</v>
      </c>
    </row>
    <row r="151" spans="1:4" x14ac:dyDescent="0.25">
      <c r="A151" s="73">
        <v>337</v>
      </c>
      <c r="B151" s="72" t="s">
        <v>1918</v>
      </c>
      <c r="C151" s="73">
        <v>3.77</v>
      </c>
      <c r="D151" s="73" t="s">
        <v>1018</v>
      </c>
    </row>
    <row r="152" spans="1:4" hidden="1" x14ac:dyDescent="0.25">
      <c r="A152" s="73">
        <v>151</v>
      </c>
      <c r="B152" s="72" t="s">
        <v>1864</v>
      </c>
      <c r="C152" s="73">
        <v>1</v>
      </c>
      <c r="D152" s="73" t="s">
        <v>1019</v>
      </c>
    </row>
    <row r="153" spans="1:4" hidden="1" x14ac:dyDescent="0.25">
      <c r="A153" s="73">
        <v>152</v>
      </c>
      <c r="B153" s="72" t="s">
        <v>1372</v>
      </c>
      <c r="C153" s="73">
        <v>2</v>
      </c>
      <c r="D153" s="73" t="s">
        <v>1019</v>
      </c>
    </row>
    <row r="154" spans="1:4" hidden="1" x14ac:dyDescent="0.25">
      <c r="A154" s="73">
        <v>153</v>
      </c>
      <c r="B154" s="72" t="s">
        <v>1865</v>
      </c>
      <c r="C154" s="73">
        <v>1</v>
      </c>
      <c r="D154" s="73" t="s">
        <v>1019</v>
      </c>
    </row>
    <row r="155" spans="1:4" hidden="1" x14ac:dyDescent="0.25">
      <c r="A155" s="73">
        <v>154</v>
      </c>
      <c r="B155" s="72" t="s">
        <v>1866</v>
      </c>
      <c r="C155" s="73">
        <v>1</v>
      </c>
      <c r="D155" s="73" t="s">
        <v>1019</v>
      </c>
    </row>
    <row r="156" spans="1:4" hidden="1" x14ac:dyDescent="0.25">
      <c r="A156" s="73">
        <v>155</v>
      </c>
      <c r="B156" s="72" t="s">
        <v>1897</v>
      </c>
      <c r="C156" s="73">
        <v>8</v>
      </c>
      <c r="D156" s="73" t="s">
        <v>1019</v>
      </c>
    </row>
    <row r="157" spans="1:4" x14ac:dyDescent="0.25">
      <c r="A157" s="73">
        <v>144</v>
      </c>
      <c r="B157" s="71" t="s">
        <v>1917</v>
      </c>
      <c r="C157" s="73">
        <v>11.28</v>
      </c>
      <c r="D157" s="73" t="s">
        <v>1018</v>
      </c>
    </row>
    <row r="158" spans="1:4" x14ac:dyDescent="0.25">
      <c r="A158" s="73">
        <v>117</v>
      </c>
      <c r="B158" s="72" t="s">
        <v>1903</v>
      </c>
      <c r="C158" s="73">
        <v>19.899999999999999</v>
      </c>
      <c r="D158" s="73" t="s">
        <v>1018</v>
      </c>
    </row>
    <row r="159" spans="1:4" hidden="1" x14ac:dyDescent="0.25">
      <c r="A159" s="73">
        <v>158</v>
      </c>
      <c r="B159" s="72" t="s">
        <v>1215</v>
      </c>
      <c r="C159" s="73">
        <v>1</v>
      </c>
      <c r="D159" s="73" t="s">
        <v>1019</v>
      </c>
    </row>
    <row r="160" spans="1:4" hidden="1" x14ac:dyDescent="0.25">
      <c r="A160" s="73">
        <v>159</v>
      </c>
      <c r="B160" s="72" t="s">
        <v>1216</v>
      </c>
      <c r="C160" s="73">
        <v>1</v>
      </c>
      <c r="D160" s="73" t="s">
        <v>1019</v>
      </c>
    </row>
    <row r="161" spans="1:4" hidden="1" x14ac:dyDescent="0.25">
      <c r="A161" s="73">
        <v>160</v>
      </c>
      <c r="B161" s="71" t="s">
        <v>1832</v>
      </c>
      <c r="C161" s="73">
        <v>2</v>
      </c>
      <c r="D161" s="73" t="s">
        <v>1019</v>
      </c>
    </row>
    <row r="162" spans="1:4" hidden="1" x14ac:dyDescent="0.25">
      <c r="A162" s="73">
        <v>161</v>
      </c>
      <c r="B162" s="72" t="s">
        <v>1831</v>
      </c>
      <c r="C162" s="73">
        <v>2</v>
      </c>
      <c r="D162" s="73" t="s">
        <v>1019</v>
      </c>
    </row>
    <row r="163" spans="1:4" hidden="1" x14ac:dyDescent="0.25">
      <c r="A163" s="73">
        <v>162</v>
      </c>
      <c r="B163" s="72" t="s">
        <v>1833</v>
      </c>
      <c r="C163" s="73">
        <v>4</v>
      </c>
      <c r="D163" s="73" t="s">
        <v>1019</v>
      </c>
    </row>
    <row r="164" spans="1:4" hidden="1" x14ac:dyDescent="0.25">
      <c r="A164" s="73">
        <v>163</v>
      </c>
      <c r="B164" s="72" t="s">
        <v>1834</v>
      </c>
      <c r="C164" s="73">
        <v>9</v>
      </c>
      <c r="D164" s="73" t="s">
        <v>1019</v>
      </c>
    </row>
    <row r="165" spans="1:4" hidden="1" x14ac:dyDescent="0.25">
      <c r="A165" s="73">
        <v>164</v>
      </c>
      <c r="B165" s="72" t="s">
        <v>1836</v>
      </c>
      <c r="C165" s="73">
        <v>2</v>
      </c>
      <c r="D165" s="73" t="s">
        <v>1019</v>
      </c>
    </row>
    <row r="166" spans="1:4" hidden="1" x14ac:dyDescent="0.25">
      <c r="A166" s="73">
        <v>165</v>
      </c>
      <c r="B166" s="72" t="s">
        <v>1837</v>
      </c>
      <c r="C166" s="73">
        <v>2</v>
      </c>
      <c r="D166" s="73" t="s">
        <v>1019</v>
      </c>
    </row>
    <row r="167" spans="1:4" hidden="1" x14ac:dyDescent="0.25">
      <c r="A167" s="73">
        <v>166</v>
      </c>
      <c r="B167" s="72" t="s">
        <v>1839</v>
      </c>
      <c r="C167" s="73">
        <v>4</v>
      </c>
      <c r="D167" s="73" t="s">
        <v>1019</v>
      </c>
    </row>
    <row r="168" spans="1:4" hidden="1" x14ac:dyDescent="0.25">
      <c r="A168" s="73">
        <v>167</v>
      </c>
      <c r="B168" s="72" t="s">
        <v>1099</v>
      </c>
      <c r="C168" s="73">
        <v>11</v>
      </c>
      <c r="D168" s="73" t="s">
        <v>1019</v>
      </c>
    </row>
    <row r="169" spans="1:4" hidden="1" x14ac:dyDescent="0.25">
      <c r="A169" s="73">
        <v>168</v>
      </c>
      <c r="B169" s="72" t="s">
        <v>1104</v>
      </c>
      <c r="C169" s="73">
        <v>11</v>
      </c>
      <c r="D169" s="73" t="s">
        <v>1019</v>
      </c>
    </row>
    <row r="170" spans="1:4" hidden="1" x14ac:dyDescent="0.25">
      <c r="A170" s="73">
        <v>169</v>
      </c>
      <c r="B170" s="72" t="s">
        <v>1840</v>
      </c>
      <c r="C170" s="73">
        <v>1</v>
      </c>
      <c r="D170" s="73" t="s">
        <v>1019</v>
      </c>
    </row>
    <row r="171" spans="1:4" hidden="1" x14ac:dyDescent="0.25">
      <c r="A171" s="73">
        <v>170</v>
      </c>
      <c r="B171" s="72" t="s">
        <v>1841</v>
      </c>
      <c r="C171" s="73">
        <v>2</v>
      </c>
      <c r="D171" s="73" t="s">
        <v>1019</v>
      </c>
    </row>
    <row r="172" spans="1:4" hidden="1" x14ac:dyDescent="0.25">
      <c r="A172" s="73">
        <v>171</v>
      </c>
      <c r="B172" s="72" t="s">
        <v>2089</v>
      </c>
      <c r="C172" s="73">
        <v>8</v>
      </c>
      <c r="D172" s="73" t="s">
        <v>1019</v>
      </c>
    </row>
    <row r="173" spans="1:4" hidden="1" x14ac:dyDescent="0.25">
      <c r="A173" s="73">
        <v>172</v>
      </c>
      <c r="B173" s="72" t="s">
        <v>1843</v>
      </c>
      <c r="C173" s="73">
        <v>2</v>
      </c>
      <c r="D173" s="73" t="s">
        <v>1019</v>
      </c>
    </row>
    <row r="174" spans="1:4" hidden="1" x14ac:dyDescent="0.25">
      <c r="A174" s="73">
        <v>173</v>
      </c>
      <c r="B174" s="72" t="s">
        <v>1844</v>
      </c>
      <c r="C174" s="73">
        <v>2</v>
      </c>
      <c r="D174" s="73" t="s">
        <v>1019</v>
      </c>
    </row>
    <row r="175" spans="1:4" hidden="1" x14ac:dyDescent="0.25">
      <c r="A175" s="73">
        <v>174</v>
      </c>
      <c r="B175" s="72" t="s">
        <v>1845</v>
      </c>
      <c r="C175" s="73">
        <v>2</v>
      </c>
      <c r="D175" s="73" t="s">
        <v>1019</v>
      </c>
    </row>
    <row r="176" spans="1:4" hidden="1" x14ac:dyDescent="0.25">
      <c r="A176" s="73">
        <v>175</v>
      </c>
      <c r="B176" s="72" t="s">
        <v>1222</v>
      </c>
      <c r="C176" s="73">
        <v>1</v>
      </c>
      <c r="D176" s="73" t="s">
        <v>1019</v>
      </c>
    </row>
    <row r="177" spans="1:4" hidden="1" x14ac:dyDescent="0.25">
      <c r="A177" s="73">
        <v>176</v>
      </c>
      <c r="B177" s="72" t="s">
        <v>1846</v>
      </c>
      <c r="C177" s="73">
        <v>1</v>
      </c>
      <c r="D177" s="73" t="s">
        <v>1019</v>
      </c>
    </row>
    <row r="178" spans="1:4" hidden="1" x14ac:dyDescent="0.25">
      <c r="A178" s="73">
        <v>177</v>
      </c>
      <c r="B178" s="72" t="s">
        <v>1221</v>
      </c>
      <c r="C178" s="73">
        <v>1</v>
      </c>
      <c r="D178" s="73" t="s">
        <v>1019</v>
      </c>
    </row>
    <row r="179" spans="1:4" hidden="1" x14ac:dyDescent="0.25">
      <c r="A179" s="73">
        <v>178</v>
      </c>
      <c r="B179" s="72" t="s">
        <v>1223</v>
      </c>
      <c r="C179" s="73">
        <v>1</v>
      </c>
      <c r="D179" s="73" t="s">
        <v>1019</v>
      </c>
    </row>
    <row r="180" spans="1:4" hidden="1" x14ac:dyDescent="0.25">
      <c r="A180" s="73">
        <v>179</v>
      </c>
      <c r="B180" s="72" t="s">
        <v>1847</v>
      </c>
      <c r="C180" s="73">
        <v>2</v>
      </c>
      <c r="D180" s="73" t="s">
        <v>1019</v>
      </c>
    </row>
    <row r="181" spans="1:4" hidden="1" x14ac:dyDescent="0.25">
      <c r="A181" s="73">
        <v>180</v>
      </c>
      <c r="B181" s="71" t="s">
        <v>1217</v>
      </c>
      <c r="C181" s="73">
        <v>1</v>
      </c>
    </row>
    <row r="182" spans="1:4" hidden="1" x14ac:dyDescent="0.25">
      <c r="A182" s="73">
        <v>181</v>
      </c>
      <c r="B182" s="72" t="s">
        <v>1218</v>
      </c>
      <c r="C182" s="73">
        <v>1</v>
      </c>
    </row>
    <row r="183" spans="1:4" hidden="1" x14ac:dyDescent="0.25">
      <c r="A183" s="73">
        <v>182</v>
      </c>
      <c r="B183" s="72" t="s">
        <v>1219</v>
      </c>
      <c r="C183" s="73">
        <v>1</v>
      </c>
    </row>
    <row r="184" spans="1:4" hidden="1" x14ac:dyDescent="0.25">
      <c r="A184" s="73">
        <v>183</v>
      </c>
      <c r="B184" s="72" t="s">
        <v>1220</v>
      </c>
      <c r="C184" s="73">
        <v>1</v>
      </c>
    </row>
    <row r="185" spans="1:4" hidden="1" x14ac:dyDescent="0.25">
      <c r="A185" s="73">
        <v>184</v>
      </c>
      <c r="B185" s="72" t="s">
        <v>1000</v>
      </c>
      <c r="C185" s="73">
        <v>2</v>
      </c>
    </row>
    <row r="186" spans="1:4" hidden="1" x14ac:dyDescent="0.25">
      <c r="A186" s="73">
        <v>185</v>
      </c>
      <c r="B186" s="72" t="s">
        <v>1224</v>
      </c>
      <c r="C186" s="73">
        <v>1</v>
      </c>
      <c r="D186" s="73" t="s">
        <v>1019</v>
      </c>
    </row>
    <row r="187" spans="1:4" hidden="1" x14ac:dyDescent="0.25">
      <c r="A187" s="73">
        <v>186</v>
      </c>
      <c r="B187" s="72" t="s">
        <v>1227</v>
      </c>
      <c r="C187" s="73">
        <v>1</v>
      </c>
      <c r="D187" s="73" t="s">
        <v>1019</v>
      </c>
    </row>
    <row r="188" spans="1:4" hidden="1" x14ac:dyDescent="0.25">
      <c r="A188" s="73">
        <v>187</v>
      </c>
      <c r="B188" s="72" t="s">
        <v>207</v>
      </c>
      <c r="C188" s="73">
        <v>0</v>
      </c>
    </row>
    <row r="189" spans="1:4" hidden="1" x14ac:dyDescent="0.25">
      <c r="A189" s="73">
        <v>188</v>
      </c>
      <c r="B189" s="72" t="s">
        <v>1009</v>
      </c>
      <c r="C189" s="73">
        <v>0</v>
      </c>
    </row>
    <row r="190" spans="1:4" hidden="1" x14ac:dyDescent="0.25">
      <c r="A190" s="73">
        <v>189</v>
      </c>
      <c r="B190" s="72" t="s">
        <v>1228</v>
      </c>
      <c r="C190" s="73">
        <v>1</v>
      </c>
      <c r="D190" s="73" t="s">
        <v>1019</v>
      </c>
    </row>
    <row r="191" spans="1:4" hidden="1" x14ac:dyDescent="0.25">
      <c r="A191" s="73">
        <v>190</v>
      </c>
      <c r="B191" s="72" t="s">
        <v>1229</v>
      </c>
      <c r="C191" s="73">
        <v>1</v>
      </c>
      <c r="D191" s="73" t="s">
        <v>1019</v>
      </c>
    </row>
    <row r="192" spans="1:4" hidden="1" x14ac:dyDescent="0.25">
      <c r="A192" s="73">
        <v>191</v>
      </c>
      <c r="B192" s="72" t="s">
        <v>1230</v>
      </c>
      <c r="C192" s="73">
        <v>23</v>
      </c>
      <c r="D192" s="73" t="s">
        <v>1019</v>
      </c>
    </row>
    <row r="193" spans="1:4" hidden="1" x14ac:dyDescent="0.25">
      <c r="A193" s="73">
        <v>192</v>
      </c>
      <c r="B193" s="72" t="s">
        <v>1231</v>
      </c>
      <c r="C193" s="73">
        <v>14</v>
      </c>
      <c r="D193" s="73" t="s">
        <v>1019</v>
      </c>
    </row>
    <row r="194" spans="1:4" hidden="1" x14ac:dyDescent="0.25">
      <c r="A194" s="73">
        <v>193</v>
      </c>
      <c r="B194" s="72" t="s">
        <v>1232</v>
      </c>
      <c r="C194" s="73">
        <v>5</v>
      </c>
      <c r="D194" s="73" t="s">
        <v>1019</v>
      </c>
    </row>
    <row r="195" spans="1:4" hidden="1" x14ac:dyDescent="0.25">
      <c r="A195" s="73">
        <v>194</v>
      </c>
      <c r="B195" s="72" t="s">
        <v>1233</v>
      </c>
      <c r="C195" s="73">
        <v>21</v>
      </c>
      <c r="D195" s="73" t="s">
        <v>1019</v>
      </c>
    </row>
    <row r="196" spans="1:4" hidden="1" x14ac:dyDescent="0.25">
      <c r="A196" s="73">
        <v>195</v>
      </c>
      <c r="B196" s="72" t="s">
        <v>1234</v>
      </c>
      <c r="C196" s="73">
        <v>2</v>
      </c>
      <c r="D196" s="73" t="s">
        <v>1019</v>
      </c>
    </row>
    <row r="197" spans="1:4" hidden="1" x14ac:dyDescent="0.25">
      <c r="A197" s="73">
        <v>196</v>
      </c>
      <c r="B197" s="71" t="s">
        <v>1235</v>
      </c>
      <c r="C197" s="73">
        <v>1</v>
      </c>
      <c r="D197" s="73" t="s">
        <v>1019</v>
      </c>
    </row>
    <row r="198" spans="1:4" hidden="1" x14ac:dyDescent="0.25">
      <c r="A198" s="73">
        <v>197</v>
      </c>
      <c r="B198" s="71" t="s">
        <v>1236</v>
      </c>
      <c r="C198" s="73">
        <v>1</v>
      </c>
      <c r="D198" s="73" t="s">
        <v>1019</v>
      </c>
    </row>
    <row r="199" spans="1:4" hidden="1" x14ac:dyDescent="0.25">
      <c r="A199" s="73">
        <v>198</v>
      </c>
      <c r="B199" s="72" t="s">
        <v>1237</v>
      </c>
      <c r="C199" s="73">
        <v>1</v>
      </c>
      <c r="D199" s="73" t="s">
        <v>1019</v>
      </c>
    </row>
    <row r="200" spans="1:4" hidden="1" x14ac:dyDescent="0.25">
      <c r="A200" s="73">
        <v>199</v>
      </c>
      <c r="B200" s="72" t="s">
        <v>1238</v>
      </c>
      <c r="C200" s="73">
        <v>2</v>
      </c>
      <c r="D200" s="73" t="s">
        <v>1019</v>
      </c>
    </row>
    <row r="201" spans="1:4" hidden="1" x14ac:dyDescent="0.25">
      <c r="A201" s="73">
        <v>200</v>
      </c>
      <c r="B201" s="72" t="s">
        <v>1239</v>
      </c>
      <c r="C201" s="73">
        <v>1</v>
      </c>
      <c r="D201" s="73" t="s">
        <v>1019</v>
      </c>
    </row>
    <row r="202" spans="1:4" hidden="1" x14ac:dyDescent="0.25">
      <c r="A202" s="73">
        <v>201</v>
      </c>
      <c r="B202" s="72" t="s">
        <v>1240</v>
      </c>
      <c r="C202" s="73">
        <v>1</v>
      </c>
      <c r="D202" s="73" t="s">
        <v>1019</v>
      </c>
    </row>
    <row r="203" spans="1:4" hidden="1" x14ac:dyDescent="0.25">
      <c r="A203" s="73">
        <v>202</v>
      </c>
      <c r="B203" s="72" t="s">
        <v>1241</v>
      </c>
      <c r="C203" s="73">
        <v>2</v>
      </c>
      <c r="D203" s="73" t="s">
        <v>1019</v>
      </c>
    </row>
    <row r="204" spans="1:4" hidden="1" x14ac:dyDescent="0.25">
      <c r="A204" s="73">
        <v>203</v>
      </c>
      <c r="B204" s="72" t="s">
        <v>1242</v>
      </c>
      <c r="C204" s="73">
        <v>1</v>
      </c>
      <c r="D204" s="73" t="s">
        <v>1019</v>
      </c>
    </row>
    <row r="205" spans="1:4" ht="30" hidden="1" x14ac:dyDescent="0.25">
      <c r="A205" s="73">
        <v>204</v>
      </c>
      <c r="B205" s="71" t="s">
        <v>1243</v>
      </c>
      <c r="C205" s="73">
        <v>1</v>
      </c>
      <c r="D205" s="73" t="s">
        <v>1019</v>
      </c>
    </row>
    <row r="206" spans="1:4" hidden="1" x14ac:dyDescent="0.25">
      <c r="A206" s="73">
        <v>205</v>
      </c>
      <c r="B206" s="72" t="s">
        <v>1244</v>
      </c>
      <c r="C206" s="73">
        <v>3</v>
      </c>
      <c r="D206" s="73" t="s">
        <v>1019</v>
      </c>
    </row>
    <row r="207" spans="1:4" hidden="1" x14ac:dyDescent="0.25">
      <c r="A207" s="73">
        <v>206</v>
      </c>
      <c r="B207" s="72" t="s">
        <v>1245</v>
      </c>
      <c r="C207" s="73">
        <v>10</v>
      </c>
      <c r="D207" s="73" t="s">
        <v>1019</v>
      </c>
    </row>
    <row r="208" spans="1:4" hidden="1" x14ac:dyDescent="0.25">
      <c r="A208" s="73">
        <v>207</v>
      </c>
      <c r="B208" s="72" t="s">
        <v>1246</v>
      </c>
      <c r="C208" s="73">
        <v>2</v>
      </c>
      <c r="D208" s="73" t="s">
        <v>1019</v>
      </c>
    </row>
    <row r="209" spans="1:4" hidden="1" x14ac:dyDescent="0.25">
      <c r="A209" s="73">
        <v>208</v>
      </c>
      <c r="B209" s="72" t="s">
        <v>1247</v>
      </c>
      <c r="C209" s="73">
        <v>5</v>
      </c>
      <c r="D209" s="73" t="s">
        <v>1019</v>
      </c>
    </row>
    <row r="210" spans="1:4" ht="30" hidden="1" x14ac:dyDescent="0.25">
      <c r="A210" s="73">
        <v>209</v>
      </c>
      <c r="B210" s="71" t="s">
        <v>1248</v>
      </c>
      <c r="C210" s="73">
        <v>23</v>
      </c>
      <c r="D210" s="73" t="s">
        <v>1019</v>
      </c>
    </row>
    <row r="211" spans="1:4" hidden="1" x14ac:dyDescent="0.25">
      <c r="A211" s="73">
        <v>210</v>
      </c>
      <c r="B211" s="72" t="s">
        <v>1249</v>
      </c>
      <c r="C211" s="73">
        <v>2</v>
      </c>
      <c r="D211" s="73" t="s">
        <v>1019</v>
      </c>
    </row>
    <row r="212" spans="1:4" hidden="1" x14ac:dyDescent="0.25">
      <c r="A212" s="73">
        <v>211</v>
      </c>
      <c r="B212" s="72" t="s">
        <v>1250</v>
      </c>
      <c r="C212" s="73">
        <v>1</v>
      </c>
      <c r="D212" s="73" t="s">
        <v>1019</v>
      </c>
    </row>
    <row r="213" spans="1:4" hidden="1" x14ac:dyDescent="0.25">
      <c r="A213" s="73">
        <v>212</v>
      </c>
      <c r="B213" s="71" t="s">
        <v>1251</v>
      </c>
      <c r="C213" s="73">
        <v>1</v>
      </c>
      <c r="D213" s="73" t="s">
        <v>1019</v>
      </c>
    </row>
    <row r="214" spans="1:4" hidden="1" x14ac:dyDescent="0.25">
      <c r="A214" s="73">
        <v>213</v>
      </c>
      <c r="B214" s="72" t="s">
        <v>1252</v>
      </c>
      <c r="C214" s="73">
        <v>2</v>
      </c>
      <c r="D214" s="73" t="s">
        <v>1019</v>
      </c>
    </row>
    <row r="215" spans="1:4" hidden="1" x14ac:dyDescent="0.25">
      <c r="A215" s="73">
        <v>214</v>
      </c>
      <c r="B215" s="72" t="s">
        <v>1253</v>
      </c>
      <c r="C215" s="73">
        <v>2</v>
      </c>
      <c r="D215" s="73" t="s">
        <v>1019</v>
      </c>
    </row>
    <row r="216" spans="1:4" hidden="1" x14ac:dyDescent="0.25">
      <c r="A216" s="73">
        <v>215</v>
      </c>
      <c r="B216" s="72" t="s">
        <v>1254</v>
      </c>
      <c r="C216" s="73">
        <v>5</v>
      </c>
      <c r="D216" s="73" t="s">
        <v>1019</v>
      </c>
    </row>
    <row r="217" spans="1:4" hidden="1" x14ac:dyDescent="0.25">
      <c r="A217" s="73">
        <v>216</v>
      </c>
      <c r="B217" s="72" t="s">
        <v>1255</v>
      </c>
      <c r="C217" s="73">
        <v>8</v>
      </c>
      <c r="D217" s="73" t="s">
        <v>1019</v>
      </c>
    </row>
    <row r="218" spans="1:4" hidden="1" x14ac:dyDescent="0.25">
      <c r="A218" s="73">
        <v>217</v>
      </c>
      <c r="B218" s="72" t="s">
        <v>1256</v>
      </c>
      <c r="C218" s="73">
        <v>1</v>
      </c>
      <c r="D218" s="73" t="s">
        <v>1019</v>
      </c>
    </row>
    <row r="219" spans="1:4" hidden="1" x14ac:dyDescent="0.25">
      <c r="A219" s="73">
        <v>218</v>
      </c>
      <c r="B219" s="72" t="s">
        <v>1257</v>
      </c>
      <c r="C219" s="73">
        <v>1</v>
      </c>
      <c r="D219" s="73" t="s">
        <v>1019</v>
      </c>
    </row>
    <row r="220" spans="1:4" hidden="1" x14ac:dyDescent="0.25">
      <c r="A220" s="73">
        <v>219</v>
      </c>
      <c r="B220" s="72" t="s">
        <v>1258</v>
      </c>
      <c r="C220" s="73">
        <v>2</v>
      </c>
      <c r="D220" s="73" t="s">
        <v>1019</v>
      </c>
    </row>
    <row r="221" spans="1:4" hidden="1" x14ac:dyDescent="0.25">
      <c r="A221" s="73">
        <v>220</v>
      </c>
      <c r="B221" s="72" t="s">
        <v>1259</v>
      </c>
      <c r="C221" s="73">
        <v>1</v>
      </c>
      <c r="D221" s="73" t="s">
        <v>1019</v>
      </c>
    </row>
    <row r="222" spans="1:4" hidden="1" x14ac:dyDescent="0.25">
      <c r="A222" s="73">
        <v>221</v>
      </c>
      <c r="B222" s="71" t="s">
        <v>1260</v>
      </c>
      <c r="C222" s="73">
        <v>1</v>
      </c>
      <c r="D222" s="73" t="s">
        <v>1019</v>
      </c>
    </row>
    <row r="223" spans="1:4" hidden="1" x14ac:dyDescent="0.25">
      <c r="A223" s="73">
        <v>222</v>
      </c>
      <c r="B223" s="72" t="s">
        <v>1261</v>
      </c>
      <c r="C223" s="73">
        <v>1</v>
      </c>
      <c r="D223" s="73" t="s">
        <v>1019</v>
      </c>
    </row>
    <row r="224" spans="1:4" hidden="1" x14ac:dyDescent="0.25">
      <c r="A224" s="73">
        <v>223</v>
      </c>
      <c r="B224" s="71" t="s">
        <v>1262</v>
      </c>
      <c r="C224" s="73">
        <v>1</v>
      </c>
      <c r="D224" s="73" t="s">
        <v>1019</v>
      </c>
    </row>
    <row r="225" spans="1:4" hidden="1" x14ac:dyDescent="0.25">
      <c r="A225" s="73">
        <v>224</v>
      </c>
      <c r="B225" s="72" t="s">
        <v>1263</v>
      </c>
      <c r="C225" s="73">
        <v>1</v>
      </c>
      <c r="D225" s="73" t="s">
        <v>1019</v>
      </c>
    </row>
    <row r="226" spans="1:4" hidden="1" x14ac:dyDescent="0.25">
      <c r="A226" s="73">
        <v>225</v>
      </c>
      <c r="B226" s="72" t="s">
        <v>1264</v>
      </c>
      <c r="C226" s="73">
        <v>1</v>
      </c>
      <c r="D226" s="73" t="s">
        <v>1019</v>
      </c>
    </row>
    <row r="227" spans="1:4" hidden="1" x14ac:dyDescent="0.25">
      <c r="A227" s="73">
        <v>226</v>
      </c>
      <c r="B227" s="72" t="s">
        <v>1265</v>
      </c>
      <c r="C227" s="73">
        <v>1</v>
      </c>
      <c r="D227" s="73" t="s">
        <v>1019</v>
      </c>
    </row>
    <row r="228" spans="1:4" hidden="1" x14ac:dyDescent="0.25">
      <c r="A228" s="73">
        <v>227</v>
      </c>
      <c r="B228" s="72" t="s">
        <v>1266</v>
      </c>
      <c r="C228" s="73">
        <v>1</v>
      </c>
      <c r="D228" s="73" t="s">
        <v>1019</v>
      </c>
    </row>
    <row r="229" spans="1:4" hidden="1" x14ac:dyDescent="0.25">
      <c r="A229" s="73">
        <v>228</v>
      </c>
      <c r="B229" s="72" t="s">
        <v>1267</v>
      </c>
      <c r="C229" s="73">
        <v>3</v>
      </c>
      <c r="D229" s="73" t="s">
        <v>1019</v>
      </c>
    </row>
    <row r="230" spans="1:4" hidden="1" x14ac:dyDescent="0.25">
      <c r="A230" s="73">
        <v>229</v>
      </c>
      <c r="B230" s="72" t="s">
        <v>1268</v>
      </c>
      <c r="C230" s="73">
        <v>1</v>
      </c>
      <c r="D230" s="73" t="s">
        <v>1019</v>
      </c>
    </row>
    <row r="231" spans="1:4" hidden="1" x14ac:dyDescent="0.25">
      <c r="A231" s="73">
        <v>230</v>
      </c>
      <c r="B231" s="72" t="s">
        <v>1269</v>
      </c>
      <c r="C231" s="73">
        <v>1</v>
      </c>
      <c r="D231" s="73" t="s">
        <v>1019</v>
      </c>
    </row>
    <row r="232" spans="1:4" hidden="1" x14ac:dyDescent="0.25">
      <c r="A232" s="73">
        <v>231</v>
      </c>
      <c r="B232" s="72" t="s">
        <v>1270</v>
      </c>
      <c r="C232" s="73">
        <v>1</v>
      </c>
      <c r="D232" s="73" t="s">
        <v>1019</v>
      </c>
    </row>
    <row r="233" spans="1:4" hidden="1" x14ac:dyDescent="0.25">
      <c r="A233" s="73">
        <v>232</v>
      </c>
      <c r="B233" s="72" t="s">
        <v>1271</v>
      </c>
      <c r="C233" s="73">
        <v>2</v>
      </c>
      <c r="D233" s="73" t="s">
        <v>1019</v>
      </c>
    </row>
    <row r="234" spans="1:4" hidden="1" x14ac:dyDescent="0.25">
      <c r="A234" s="73">
        <v>233</v>
      </c>
      <c r="B234" s="72" t="s">
        <v>1272</v>
      </c>
      <c r="C234" s="73">
        <v>1</v>
      </c>
      <c r="D234" s="73" t="s">
        <v>1019</v>
      </c>
    </row>
    <row r="235" spans="1:4" hidden="1" x14ac:dyDescent="0.25">
      <c r="A235" s="73">
        <v>234</v>
      </c>
      <c r="B235" s="72" t="s">
        <v>1273</v>
      </c>
      <c r="C235" s="73">
        <v>2</v>
      </c>
      <c r="D235" s="73" t="s">
        <v>1019</v>
      </c>
    </row>
    <row r="236" spans="1:4" hidden="1" x14ac:dyDescent="0.25">
      <c r="A236" s="73">
        <v>235</v>
      </c>
      <c r="B236" s="72" t="s">
        <v>1274</v>
      </c>
      <c r="C236" s="73">
        <v>2</v>
      </c>
      <c r="D236" s="73" t="s">
        <v>1019</v>
      </c>
    </row>
    <row r="237" spans="1:4" hidden="1" x14ac:dyDescent="0.25">
      <c r="A237" s="73">
        <v>236</v>
      </c>
      <c r="B237" s="72" t="s">
        <v>1275</v>
      </c>
      <c r="C237" s="73">
        <v>2</v>
      </c>
      <c r="D237" s="73" t="s">
        <v>1019</v>
      </c>
    </row>
    <row r="238" spans="1:4" hidden="1" x14ac:dyDescent="0.25">
      <c r="A238" s="73">
        <v>237</v>
      </c>
      <c r="B238" s="72" t="s">
        <v>1276</v>
      </c>
      <c r="C238" s="73">
        <v>1</v>
      </c>
      <c r="D238" s="73" t="s">
        <v>1019</v>
      </c>
    </row>
    <row r="239" spans="1:4" hidden="1" x14ac:dyDescent="0.25">
      <c r="A239" s="73">
        <v>238</v>
      </c>
      <c r="B239" s="72" t="s">
        <v>1277</v>
      </c>
      <c r="C239" s="73">
        <v>1</v>
      </c>
      <c r="D239" s="73" t="s">
        <v>1019</v>
      </c>
    </row>
    <row r="240" spans="1:4" hidden="1" x14ac:dyDescent="0.25">
      <c r="A240" s="73">
        <v>239</v>
      </c>
      <c r="B240" s="72" t="s">
        <v>1278</v>
      </c>
      <c r="C240" s="73">
        <v>8</v>
      </c>
      <c r="D240" s="73" t="s">
        <v>1019</v>
      </c>
    </row>
    <row r="241" spans="1:4" hidden="1" x14ac:dyDescent="0.25">
      <c r="A241" s="73">
        <v>240</v>
      </c>
      <c r="B241" s="72" t="s">
        <v>1279</v>
      </c>
      <c r="C241" s="73">
        <v>1</v>
      </c>
      <c r="D241" s="73" t="s">
        <v>1019</v>
      </c>
    </row>
    <row r="242" spans="1:4" hidden="1" x14ac:dyDescent="0.25">
      <c r="A242" s="73">
        <v>241</v>
      </c>
      <c r="B242" s="71" t="s">
        <v>1280</v>
      </c>
      <c r="C242" s="73">
        <v>3</v>
      </c>
      <c r="D242" s="73" t="s">
        <v>1019</v>
      </c>
    </row>
    <row r="243" spans="1:4" hidden="1" x14ac:dyDescent="0.25">
      <c r="A243" s="73">
        <v>242</v>
      </c>
      <c r="B243" s="72" t="s">
        <v>1281</v>
      </c>
      <c r="C243" s="73">
        <v>1</v>
      </c>
      <c r="D243" s="73" t="s">
        <v>1019</v>
      </c>
    </row>
    <row r="244" spans="1:4" hidden="1" x14ac:dyDescent="0.25">
      <c r="A244" s="73">
        <v>243</v>
      </c>
      <c r="B244" s="72" t="s">
        <v>1282</v>
      </c>
      <c r="C244" s="73">
        <v>1</v>
      </c>
      <c r="D244" s="73" t="s">
        <v>1019</v>
      </c>
    </row>
    <row r="245" spans="1:4" hidden="1" x14ac:dyDescent="0.25">
      <c r="A245" s="73">
        <v>244</v>
      </c>
      <c r="B245" s="72" t="s">
        <v>1283</v>
      </c>
      <c r="C245" s="73">
        <v>2</v>
      </c>
      <c r="D245" s="73" t="s">
        <v>1019</v>
      </c>
    </row>
    <row r="246" spans="1:4" hidden="1" x14ac:dyDescent="0.25">
      <c r="A246" s="73">
        <v>245</v>
      </c>
      <c r="B246" s="72" t="s">
        <v>1284</v>
      </c>
      <c r="C246" s="73">
        <v>2</v>
      </c>
      <c r="D246" s="73" t="s">
        <v>1019</v>
      </c>
    </row>
    <row r="247" spans="1:4" hidden="1" x14ac:dyDescent="0.25">
      <c r="A247" s="73">
        <v>246</v>
      </c>
      <c r="B247" s="72" t="s">
        <v>1285</v>
      </c>
      <c r="C247" s="73">
        <v>2</v>
      </c>
      <c r="D247" s="73" t="s">
        <v>1019</v>
      </c>
    </row>
    <row r="248" spans="1:4" hidden="1" x14ac:dyDescent="0.25">
      <c r="A248" s="73">
        <v>247</v>
      </c>
      <c r="B248" s="72" t="s">
        <v>1286</v>
      </c>
      <c r="C248" s="73">
        <v>1</v>
      </c>
      <c r="D248" s="73" t="s">
        <v>1019</v>
      </c>
    </row>
    <row r="249" spans="1:4" hidden="1" x14ac:dyDescent="0.25">
      <c r="A249" s="73">
        <v>248</v>
      </c>
      <c r="B249" s="72" t="s">
        <v>1287</v>
      </c>
      <c r="C249" s="73">
        <v>1</v>
      </c>
      <c r="D249" s="73" t="s">
        <v>1019</v>
      </c>
    </row>
    <row r="250" spans="1:4" hidden="1" x14ac:dyDescent="0.25">
      <c r="A250" s="73">
        <v>249</v>
      </c>
      <c r="B250" s="72" t="s">
        <v>1288</v>
      </c>
      <c r="C250" s="73">
        <v>10</v>
      </c>
      <c r="D250" s="73" t="s">
        <v>1019</v>
      </c>
    </row>
    <row r="251" spans="1:4" hidden="1" x14ac:dyDescent="0.25">
      <c r="A251" s="73">
        <v>250</v>
      </c>
      <c r="B251" s="72" t="s">
        <v>1289</v>
      </c>
      <c r="C251" s="73">
        <v>6</v>
      </c>
      <c r="D251" s="73" t="s">
        <v>1019</v>
      </c>
    </row>
    <row r="252" spans="1:4" hidden="1" x14ac:dyDescent="0.25">
      <c r="A252" s="73">
        <v>251</v>
      </c>
      <c r="B252" s="72" t="s">
        <v>1290</v>
      </c>
      <c r="C252" s="73">
        <v>6</v>
      </c>
      <c r="D252" s="73" t="s">
        <v>1019</v>
      </c>
    </row>
    <row r="253" spans="1:4" hidden="1" x14ac:dyDescent="0.25">
      <c r="A253" s="73">
        <v>252</v>
      </c>
      <c r="B253" s="72" t="s">
        <v>1291</v>
      </c>
      <c r="C253" s="73">
        <v>14</v>
      </c>
      <c r="D253" s="73" t="s">
        <v>1019</v>
      </c>
    </row>
    <row r="254" spans="1:4" hidden="1" x14ac:dyDescent="0.25">
      <c r="A254" s="73">
        <v>253</v>
      </c>
      <c r="B254" s="72" t="s">
        <v>1292</v>
      </c>
      <c r="C254" s="73">
        <v>9</v>
      </c>
      <c r="D254" s="73" t="s">
        <v>1019</v>
      </c>
    </row>
    <row r="255" spans="1:4" hidden="1" x14ac:dyDescent="0.25">
      <c r="A255" s="73">
        <v>254</v>
      </c>
      <c r="B255" s="71" t="s">
        <v>1293</v>
      </c>
      <c r="C255" s="73">
        <v>1</v>
      </c>
      <c r="D255" s="73" t="s">
        <v>1019</v>
      </c>
    </row>
    <row r="256" spans="1:4" hidden="1" x14ac:dyDescent="0.25">
      <c r="A256" s="73">
        <v>255</v>
      </c>
      <c r="B256" s="72" t="s">
        <v>1294</v>
      </c>
      <c r="C256" s="73">
        <v>1</v>
      </c>
      <c r="D256" s="73" t="s">
        <v>1019</v>
      </c>
    </row>
    <row r="257" spans="1:4" hidden="1" x14ac:dyDescent="0.25">
      <c r="A257" s="73">
        <v>256</v>
      </c>
      <c r="B257" s="72" t="s">
        <v>1295</v>
      </c>
      <c r="C257" s="73">
        <v>5</v>
      </c>
      <c r="D257" s="73" t="s">
        <v>1019</v>
      </c>
    </row>
    <row r="258" spans="1:4" hidden="1" x14ac:dyDescent="0.25">
      <c r="A258" s="73">
        <v>257</v>
      </c>
      <c r="B258" s="72" t="s">
        <v>1296</v>
      </c>
      <c r="C258" s="73">
        <v>4</v>
      </c>
      <c r="D258" s="73" t="s">
        <v>1019</v>
      </c>
    </row>
    <row r="259" spans="1:4" hidden="1" x14ac:dyDescent="0.25">
      <c r="A259" s="73">
        <v>258</v>
      </c>
      <c r="B259" s="72" t="s">
        <v>1297</v>
      </c>
      <c r="C259" s="73">
        <v>3</v>
      </c>
      <c r="D259" s="73" t="s">
        <v>1019</v>
      </c>
    </row>
    <row r="260" spans="1:4" hidden="1" x14ac:dyDescent="0.25">
      <c r="A260" s="73">
        <v>259</v>
      </c>
      <c r="B260" s="72" t="s">
        <v>1298</v>
      </c>
      <c r="C260" s="73">
        <v>1</v>
      </c>
      <c r="D260" s="73" t="s">
        <v>1019</v>
      </c>
    </row>
    <row r="261" spans="1:4" hidden="1" x14ac:dyDescent="0.25">
      <c r="A261" s="73">
        <v>260</v>
      </c>
      <c r="B261" s="72" t="s">
        <v>1299</v>
      </c>
      <c r="C261" s="73">
        <v>1</v>
      </c>
      <c r="D261" s="73" t="s">
        <v>1019</v>
      </c>
    </row>
    <row r="262" spans="1:4" hidden="1" x14ac:dyDescent="0.25">
      <c r="A262" s="73">
        <v>261</v>
      </c>
      <c r="B262" s="72" t="s">
        <v>1300</v>
      </c>
      <c r="C262" s="73">
        <v>1</v>
      </c>
      <c r="D262" s="73" t="s">
        <v>1019</v>
      </c>
    </row>
    <row r="263" spans="1:4" hidden="1" x14ac:dyDescent="0.25">
      <c r="A263" s="73">
        <v>262</v>
      </c>
      <c r="B263" s="72" t="s">
        <v>1301</v>
      </c>
      <c r="C263" s="73">
        <v>1</v>
      </c>
      <c r="D263" s="73" t="s">
        <v>1019</v>
      </c>
    </row>
    <row r="264" spans="1:4" hidden="1" x14ac:dyDescent="0.25">
      <c r="A264" s="73">
        <v>263</v>
      </c>
      <c r="B264" s="71" t="s">
        <v>1302</v>
      </c>
      <c r="C264" s="73">
        <v>2</v>
      </c>
      <c r="D264" s="73" t="s">
        <v>1019</v>
      </c>
    </row>
    <row r="265" spans="1:4" hidden="1" x14ac:dyDescent="0.25">
      <c r="A265" s="73">
        <v>264</v>
      </c>
      <c r="B265" s="72" t="s">
        <v>1303</v>
      </c>
      <c r="C265" s="73">
        <v>2</v>
      </c>
      <c r="D265" s="73" t="s">
        <v>1019</v>
      </c>
    </row>
    <row r="266" spans="1:4" hidden="1" x14ac:dyDescent="0.25">
      <c r="A266" s="73">
        <v>265</v>
      </c>
      <c r="B266" s="72" t="s">
        <v>1304</v>
      </c>
      <c r="C266" s="73">
        <v>5</v>
      </c>
      <c r="D266" s="73" t="s">
        <v>1019</v>
      </c>
    </row>
    <row r="267" spans="1:4" hidden="1" x14ac:dyDescent="0.25">
      <c r="A267" s="73">
        <v>266</v>
      </c>
      <c r="B267" s="72" t="s">
        <v>1305</v>
      </c>
      <c r="C267" s="73">
        <v>1</v>
      </c>
      <c r="D267" s="73" t="s">
        <v>1019</v>
      </c>
    </row>
    <row r="268" spans="1:4" hidden="1" x14ac:dyDescent="0.25">
      <c r="A268" s="73">
        <v>267</v>
      </c>
      <c r="B268" s="72" t="s">
        <v>1306</v>
      </c>
      <c r="C268" s="73">
        <v>1</v>
      </c>
      <c r="D268" s="73" t="s">
        <v>1019</v>
      </c>
    </row>
    <row r="269" spans="1:4" hidden="1" x14ac:dyDescent="0.25">
      <c r="A269" s="73">
        <v>268</v>
      </c>
      <c r="B269" s="72" t="s">
        <v>1307</v>
      </c>
      <c r="C269" s="73">
        <v>2</v>
      </c>
      <c r="D269" s="73" t="s">
        <v>1019</v>
      </c>
    </row>
    <row r="270" spans="1:4" hidden="1" x14ac:dyDescent="0.25">
      <c r="A270" s="73">
        <v>269</v>
      </c>
      <c r="B270" s="72" t="s">
        <v>1308</v>
      </c>
      <c r="C270" s="73">
        <v>1</v>
      </c>
      <c r="D270" s="73" t="s">
        <v>1019</v>
      </c>
    </row>
    <row r="271" spans="1:4" hidden="1" x14ac:dyDescent="0.25">
      <c r="A271" s="73">
        <v>270</v>
      </c>
      <c r="B271" s="72" t="s">
        <v>1309</v>
      </c>
      <c r="C271" s="73">
        <v>2</v>
      </c>
      <c r="D271" s="73" t="s">
        <v>1019</v>
      </c>
    </row>
    <row r="272" spans="1:4" hidden="1" x14ac:dyDescent="0.25">
      <c r="A272" s="73">
        <v>271</v>
      </c>
      <c r="B272" s="71" t="s">
        <v>1310</v>
      </c>
      <c r="C272" s="73">
        <v>1</v>
      </c>
      <c r="D272" s="73" t="s">
        <v>1019</v>
      </c>
    </row>
    <row r="273" spans="1:4" hidden="1" x14ac:dyDescent="0.25">
      <c r="A273" s="73">
        <v>272</v>
      </c>
      <c r="B273" s="72" t="s">
        <v>1311</v>
      </c>
      <c r="C273" s="73">
        <v>2</v>
      </c>
      <c r="D273" s="73" t="s">
        <v>1019</v>
      </c>
    </row>
    <row r="274" spans="1:4" hidden="1" x14ac:dyDescent="0.25">
      <c r="A274" s="73">
        <v>273</v>
      </c>
      <c r="B274" s="72" t="s">
        <v>1312</v>
      </c>
      <c r="C274" s="73">
        <v>2</v>
      </c>
      <c r="D274" s="73" t="s">
        <v>1019</v>
      </c>
    </row>
    <row r="275" spans="1:4" hidden="1" x14ac:dyDescent="0.25">
      <c r="A275" s="73">
        <v>274</v>
      </c>
      <c r="B275" s="72" t="s">
        <v>1313</v>
      </c>
      <c r="C275" s="73">
        <v>1</v>
      </c>
      <c r="D275" s="73" t="s">
        <v>1019</v>
      </c>
    </row>
    <row r="276" spans="1:4" hidden="1" x14ac:dyDescent="0.25">
      <c r="A276" s="73">
        <v>275</v>
      </c>
      <c r="B276" s="72" t="s">
        <v>1314</v>
      </c>
      <c r="C276" s="73">
        <v>3</v>
      </c>
      <c r="D276" s="73" t="s">
        <v>1019</v>
      </c>
    </row>
    <row r="277" spans="1:4" hidden="1" x14ac:dyDescent="0.25">
      <c r="A277" s="73">
        <v>276</v>
      </c>
      <c r="B277" s="71" t="s">
        <v>1315</v>
      </c>
      <c r="C277" s="73">
        <v>2</v>
      </c>
      <c r="D277" s="73" t="s">
        <v>1019</v>
      </c>
    </row>
    <row r="278" spans="1:4" hidden="1" x14ac:dyDescent="0.25">
      <c r="A278" s="73">
        <v>277</v>
      </c>
      <c r="B278" s="72" t="s">
        <v>1316</v>
      </c>
      <c r="C278" s="73">
        <v>2</v>
      </c>
      <c r="D278" s="73" t="s">
        <v>1019</v>
      </c>
    </row>
    <row r="279" spans="1:4" hidden="1" x14ac:dyDescent="0.25">
      <c r="A279" s="73">
        <v>278</v>
      </c>
      <c r="B279" s="72" t="s">
        <v>1317</v>
      </c>
      <c r="C279" s="73">
        <v>1</v>
      </c>
      <c r="D279" s="73" t="s">
        <v>1019</v>
      </c>
    </row>
    <row r="280" spans="1:4" hidden="1" x14ac:dyDescent="0.25">
      <c r="A280" s="73">
        <v>279</v>
      </c>
      <c r="B280" s="72" t="s">
        <v>1318</v>
      </c>
      <c r="C280" s="73">
        <v>1</v>
      </c>
      <c r="D280" s="73" t="s">
        <v>1019</v>
      </c>
    </row>
    <row r="281" spans="1:4" hidden="1" x14ac:dyDescent="0.25">
      <c r="A281" s="73">
        <v>280</v>
      </c>
      <c r="B281" s="72" t="s">
        <v>1319</v>
      </c>
      <c r="C281" s="73">
        <v>15</v>
      </c>
      <c r="D281" s="73" t="s">
        <v>1019</v>
      </c>
    </row>
    <row r="282" spans="1:4" hidden="1" x14ac:dyDescent="0.25">
      <c r="A282" s="73">
        <v>281</v>
      </c>
      <c r="B282" s="72" t="s">
        <v>1320</v>
      </c>
      <c r="C282" s="73">
        <v>2</v>
      </c>
      <c r="D282" s="73" t="s">
        <v>1019</v>
      </c>
    </row>
    <row r="283" spans="1:4" hidden="1" x14ac:dyDescent="0.25">
      <c r="A283" s="73">
        <v>282</v>
      </c>
      <c r="B283" s="72" t="s">
        <v>1321</v>
      </c>
      <c r="C283" s="73">
        <v>15</v>
      </c>
      <c r="D283" s="73" t="s">
        <v>1019</v>
      </c>
    </row>
    <row r="284" spans="1:4" hidden="1" x14ac:dyDescent="0.25">
      <c r="A284" s="73">
        <v>283</v>
      </c>
      <c r="B284" s="72" t="s">
        <v>1322</v>
      </c>
      <c r="C284" s="73">
        <v>1</v>
      </c>
      <c r="D284" s="73" t="s">
        <v>1019</v>
      </c>
    </row>
    <row r="285" spans="1:4" hidden="1" x14ac:dyDescent="0.25">
      <c r="A285" s="73">
        <v>284</v>
      </c>
      <c r="B285" s="72" t="s">
        <v>1323</v>
      </c>
      <c r="C285" s="73">
        <v>4</v>
      </c>
      <c r="D285" s="73" t="s">
        <v>1019</v>
      </c>
    </row>
    <row r="286" spans="1:4" hidden="1" x14ac:dyDescent="0.25">
      <c r="A286" s="73">
        <v>285</v>
      </c>
      <c r="B286" s="71" t="s">
        <v>1324</v>
      </c>
      <c r="C286" s="73">
        <v>1</v>
      </c>
      <c r="D286" s="73" t="s">
        <v>1019</v>
      </c>
    </row>
    <row r="287" spans="1:4" hidden="1" x14ac:dyDescent="0.25">
      <c r="A287" s="73">
        <v>286</v>
      </c>
      <c r="B287" s="72" t="s">
        <v>1325</v>
      </c>
      <c r="C287" s="73">
        <v>1</v>
      </c>
      <c r="D287" s="73" t="s">
        <v>1019</v>
      </c>
    </row>
    <row r="288" spans="1:4" hidden="1" x14ac:dyDescent="0.25">
      <c r="A288" s="73">
        <v>287</v>
      </c>
      <c r="B288" s="72" t="s">
        <v>1326</v>
      </c>
      <c r="C288" s="73">
        <v>16</v>
      </c>
      <c r="D288" s="73" t="s">
        <v>1019</v>
      </c>
    </row>
    <row r="289" spans="1:4" hidden="1" x14ac:dyDescent="0.25">
      <c r="A289" s="73">
        <v>288</v>
      </c>
      <c r="B289" s="72" t="s">
        <v>1327</v>
      </c>
      <c r="C289" s="73">
        <v>1</v>
      </c>
      <c r="D289" s="73" t="s">
        <v>1019</v>
      </c>
    </row>
    <row r="290" spans="1:4" hidden="1" x14ac:dyDescent="0.25">
      <c r="A290" s="73">
        <v>289</v>
      </c>
      <c r="B290" s="72" t="s">
        <v>1328</v>
      </c>
      <c r="C290" s="73">
        <v>6</v>
      </c>
      <c r="D290" s="73" t="s">
        <v>1019</v>
      </c>
    </row>
    <row r="291" spans="1:4" hidden="1" x14ac:dyDescent="0.25">
      <c r="A291" s="73">
        <v>290</v>
      </c>
      <c r="B291" s="71" t="s">
        <v>1329</v>
      </c>
      <c r="C291" s="73">
        <v>1</v>
      </c>
      <c r="D291" s="73" t="s">
        <v>1019</v>
      </c>
    </row>
    <row r="292" spans="1:4" hidden="1" x14ac:dyDescent="0.25">
      <c r="A292" s="73">
        <v>291</v>
      </c>
      <c r="B292" s="72" t="s">
        <v>1330</v>
      </c>
      <c r="C292" s="73">
        <v>1</v>
      </c>
      <c r="D292" s="73" t="s">
        <v>1019</v>
      </c>
    </row>
    <row r="293" spans="1:4" hidden="1" x14ac:dyDescent="0.25">
      <c r="A293" s="73">
        <v>292</v>
      </c>
      <c r="B293" s="72" t="s">
        <v>1331</v>
      </c>
      <c r="C293" s="73">
        <v>1</v>
      </c>
      <c r="D293" s="73" t="s">
        <v>1019</v>
      </c>
    </row>
    <row r="294" spans="1:4" hidden="1" x14ac:dyDescent="0.25">
      <c r="A294" s="73">
        <v>293</v>
      </c>
      <c r="B294" s="72" t="s">
        <v>1332</v>
      </c>
      <c r="C294" s="73">
        <v>8</v>
      </c>
      <c r="D294" s="73" t="s">
        <v>1019</v>
      </c>
    </row>
    <row r="295" spans="1:4" hidden="1" x14ac:dyDescent="0.25">
      <c r="A295" s="73">
        <v>294</v>
      </c>
      <c r="B295" s="72" t="s">
        <v>1333</v>
      </c>
      <c r="C295" s="73">
        <v>5</v>
      </c>
      <c r="D295" s="73" t="s">
        <v>1019</v>
      </c>
    </row>
    <row r="296" spans="1:4" hidden="1" x14ac:dyDescent="0.25">
      <c r="A296" s="73">
        <v>295</v>
      </c>
      <c r="B296" s="71" t="s">
        <v>1334</v>
      </c>
      <c r="C296" s="73">
        <v>4</v>
      </c>
      <c r="D296" s="73" t="s">
        <v>1019</v>
      </c>
    </row>
    <row r="297" spans="1:4" hidden="1" x14ac:dyDescent="0.25">
      <c r="A297" s="73">
        <v>296</v>
      </c>
      <c r="B297" s="72" t="s">
        <v>1335</v>
      </c>
      <c r="C297" s="73">
        <v>2</v>
      </c>
      <c r="D297" s="73" t="s">
        <v>1019</v>
      </c>
    </row>
    <row r="298" spans="1:4" hidden="1" x14ac:dyDescent="0.25">
      <c r="A298" s="73">
        <v>297</v>
      </c>
      <c r="B298" s="72" t="s">
        <v>1336</v>
      </c>
      <c r="C298" s="73">
        <v>4</v>
      </c>
      <c r="D298" s="73" t="s">
        <v>1019</v>
      </c>
    </row>
    <row r="299" spans="1:4" hidden="1" x14ac:dyDescent="0.25">
      <c r="A299" s="73">
        <v>298</v>
      </c>
      <c r="B299" s="72" t="s">
        <v>1337</v>
      </c>
      <c r="C299" s="73">
        <v>1</v>
      </c>
      <c r="D299" s="73" t="s">
        <v>1019</v>
      </c>
    </row>
    <row r="300" spans="1:4" hidden="1" x14ac:dyDescent="0.25">
      <c r="A300" s="73">
        <v>299</v>
      </c>
      <c r="B300" s="72" t="s">
        <v>1338</v>
      </c>
      <c r="C300" s="73">
        <v>1</v>
      </c>
      <c r="D300" s="73" t="s">
        <v>1019</v>
      </c>
    </row>
    <row r="301" spans="1:4" hidden="1" x14ac:dyDescent="0.25">
      <c r="A301" s="73">
        <v>300</v>
      </c>
      <c r="B301" s="71" t="s">
        <v>1225</v>
      </c>
      <c r="C301" s="73">
        <v>1</v>
      </c>
      <c r="D301" s="73" t="s">
        <v>1019</v>
      </c>
    </row>
    <row r="302" spans="1:4" hidden="1" x14ac:dyDescent="0.25">
      <c r="A302" s="73">
        <v>301</v>
      </c>
      <c r="B302" s="72" t="s">
        <v>614</v>
      </c>
      <c r="C302" s="73">
        <v>4</v>
      </c>
      <c r="D302" s="73" t="s">
        <v>1019</v>
      </c>
    </row>
    <row r="303" spans="1:4" hidden="1" x14ac:dyDescent="0.25">
      <c r="A303" s="73">
        <v>302</v>
      </c>
      <c r="B303" s="72" t="s">
        <v>610</v>
      </c>
      <c r="C303" s="73">
        <v>4</v>
      </c>
      <c r="D303" s="73" t="s">
        <v>1019</v>
      </c>
    </row>
    <row r="304" spans="1:4" hidden="1" x14ac:dyDescent="0.25">
      <c r="A304" s="73">
        <v>303</v>
      </c>
      <c r="B304" s="72" t="s">
        <v>309</v>
      </c>
      <c r="C304" s="73">
        <v>8</v>
      </c>
      <c r="D304" s="73" t="s">
        <v>1019</v>
      </c>
    </row>
    <row r="305" spans="1:4" hidden="1" x14ac:dyDescent="0.25">
      <c r="A305" s="73">
        <v>304</v>
      </c>
      <c r="B305" s="71" t="s">
        <v>1850</v>
      </c>
      <c r="C305" s="73">
        <v>12</v>
      </c>
      <c r="D305" s="73" t="s">
        <v>1019</v>
      </c>
    </row>
    <row r="306" spans="1:4" hidden="1" x14ac:dyDescent="0.25">
      <c r="A306" s="73">
        <v>305</v>
      </c>
      <c r="B306" s="72" t="s">
        <v>1851</v>
      </c>
      <c r="C306" s="73">
        <v>1</v>
      </c>
      <c r="D306" s="73" t="s">
        <v>1019</v>
      </c>
    </row>
    <row r="307" spans="1:4" hidden="1" x14ac:dyDescent="0.25">
      <c r="A307" s="73">
        <v>306</v>
      </c>
      <c r="B307" s="72" t="s">
        <v>1852</v>
      </c>
      <c r="C307" s="73">
        <v>1</v>
      </c>
      <c r="D307" s="73" t="s">
        <v>1019</v>
      </c>
    </row>
    <row r="308" spans="1:4" hidden="1" x14ac:dyDescent="0.25">
      <c r="A308" s="73">
        <v>307</v>
      </c>
      <c r="B308" s="72" t="s">
        <v>1854</v>
      </c>
      <c r="C308" s="73">
        <v>4</v>
      </c>
      <c r="D308" s="73" t="s">
        <v>1019</v>
      </c>
    </row>
    <row r="309" spans="1:4" hidden="1" x14ac:dyDescent="0.25">
      <c r="A309" s="73">
        <v>308</v>
      </c>
      <c r="B309" s="72" t="s">
        <v>1023</v>
      </c>
      <c r="C309" s="73">
        <v>45</v>
      </c>
      <c r="D309" s="73" t="s">
        <v>1019</v>
      </c>
    </row>
    <row r="310" spans="1:4" hidden="1" x14ac:dyDescent="0.25">
      <c r="A310" s="73">
        <v>309</v>
      </c>
      <c r="B310" s="71" t="s">
        <v>1024</v>
      </c>
      <c r="C310" s="73">
        <v>45</v>
      </c>
      <c r="D310" s="73" t="s">
        <v>1019</v>
      </c>
    </row>
    <row r="311" spans="1:4" hidden="1" x14ac:dyDescent="0.25">
      <c r="A311" s="73">
        <v>310</v>
      </c>
      <c r="B311" s="72" t="s">
        <v>1856</v>
      </c>
      <c r="C311" s="73">
        <v>4</v>
      </c>
      <c r="D311" s="73" t="s">
        <v>1019</v>
      </c>
    </row>
    <row r="312" spans="1:4" hidden="1" x14ac:dyDescent="0.25">
      <c r="A312" s="73">
        <v>311</v>
      </c>
      <c r="B312" s="72" t="s">
        <v>1867</v>
      </c>
      <c r="C312" s="73">
        <v>1</v>
      </c>
      <c r="D312" s="73" t="s">
        <v>1019</v>
      </c>
    </row>
    <row r="313" spans="1:4" hidden="1" x14ac:dyDescent="0.25">
      <c r="A313" s="73">
        <v>312</v>
      </c>
      <c r="B313" s="71" t="s">
        <v>1339</v>
      </c>
      <c r="C313" s="73">
        <v>1</v>
      </c>
      <c r="D313" s="73" t="s">
        <v>1019</v>
      </c>
    </row>
    <row r="314" spans="1:4" hidden="1" x14ac:dyDescent="0.25">
      <c r="A314" s="73">
        <v>313</v>
      </c>
      <c r="B314" s="72" t="s">
        <v>1340</v>
      </c>
      <c r="C314" s="73">
        <v>1</v>
      </c>
      <c r="D314" s="73" t="s">
        <v>1019</v>
      </c>
    </row>
    <row r="315" spans="1:4" hidden="1" x14ac:dyDescent="0.25">
      <c r="A315" s="73">
        <v>314</v>
      </c>
      <c r="B315" s="72" t="s">
        <v>1122</v>
      </c>
      <c r="C315" s="73">
        <v>4</v>
      </c>
      <c r="D315" s="73" t="s">
        <v>1019</v>
      </c>
    </row>
    <row r="316" spans="1:4" hidden="1" x14ac:dyDescent="0.25">
      <c r="A316" s="73">
        <v>315</v>
      </c>
      <c r="B316" s="72" t="s">
        <v>1341</v>
      </c>
      <c r="C316" s="73">
        <v>1</v>
      </c>
      <c r="D316" s="73" t="s">
        <v>1019</v>
      </c>
    </row>
    <row r="317" spans="1:4" hidden="1" x14ac:dyDescent="0.25">
      <c r="A317" s="73">
        <v>316</v>
      </c>
      <c r="B317" s="72" t="s">
        <v>1342</v>
      </c>
      <c r="C317" s="73">
        <v>1</v>
      </c>
      <c r="D317" s="73" t="s">
        <v>1019</v>
      </c>
    </row>
    <row r="318" spans="1:4" hidden="1" x14ac:dyDescent="0.25">
      <c r="A318" s="73">
        <v>317</v>
      </c>
      <c r="B318" s="72" t="s">
        <v>1343</v>
      </c>
      <c r="C318" s="73">
        <v>2</v>
      </c>
      <c r="D318" s="73" t="s">
        <v>1019</v>
      </c>
    </row>
    <row r="319" spans="1:4" hidden="1" x14ac:dyDescent="0.25">
      <c r="A319" s="73">
        <v>318</v>
      </c>
      <c r="B319" s="71" t="s">
        <v>1344</v>
      </c>
      <c r="C319" s="73">
        <v>1</v>
      </c>
      <c r="D319" s="73" t="s">
        <v>1019</v>
      </c>
    </row>
    <row r="320" spans="1:4" hidden="1" x14ac:dyDescent="0.25">
      <c r="A320" s="73">
        <v>319</v>
      </c>
      <c r="B320" s="72" t="s">
        <v>1345</v>
      </c>
      <c r="C320" s="73">
        <v>1</v>
      </c>
      <c r="D320" s="73" t="s">
        <v>1019</v>
      </c>
    </row>
    <row r="321" spans="1:4" hidden="1" x14ac:dyDescent="0.25">
      <c r="A321" s="73">
        <v>320</v>
      </c>
      <c r="B321" s="72" t="s">
        <v>1346</v>
      </c>
      <c r="C321" s="73">
        <v>1</v>
      </c>
      <c r="D321" s="73" t="s">
        <v>1019</v>
      </c>
    </row>
    <row r="322" spans="1:4" hidden="1" x14ac:dyDescent="0.25">
      <c r="A322" s="73">
        <v>321</v>
      </c>
      <c r="B322" s="72" t="s">
        <v>1347</v>
      </c>
      <c r="C322" s="73">
        <v>1</v>
      </c>
      <c r="D322" s="73" t="s">
        <v>1019</v>
      </c>
    </row>
    <row r="323" spans="1:4" hidden="1" x14ac:dyDescent="0.25">
      <c r="A323" s="73">
        <v>322</v>
      </c>
      <c r="B323" s="72" t="s">
        <v>1348</v>
      </c>
      <c r="C323" s="73">
        <v>1</v>
      </c>
      <c r="D323" s="73" t="s">
        <v>1019</v>
      </c>
    </row>
    <row r="324" spans="1:4" hidden="1" x14ac:dyDescent="0.25">
      <c r="A324" s="73">
        <v>323</v>
      </c>
      <c r="B324" s="72" t="s">
        <v>1349</v>
      </c>
      <c r="C324" s="73">
        <v>2</v>
      </c>
      <c r="D324" s="73" t="s">
        <v>1019</v>
      </c>
    </row>
    <row r="325" spans="1:4" hidden="1" x14ac:dyDescent="0.25">
      <c r="A325" s="73">
        <v>324</v>
      </c>
      <c r="B325" s="71" t="s">
        <v>1350</v>
      </c>
      <c r="C325" s="73">
        <v>1</v>
      </c>
      <c r="D325" s="73" t="s">
        <v>1019</v>
      </c>
    </row>
    <row r="326" spans="1:4" hidden="1" x14ac:dyDescent="0.25">
      <c r="A326" s="73">
        <v>325</v>
      </c>
      <c r="B326" s="72" t="s">
        <v>1351</v>
      </c>
      <c r="C326" s="73">
        <v>2</v>
      </c>
      <c r="D326" s="73" t="s">
        <v>1019</v>
      </c>
    </row>
    <row r="327" spans="1:4" hidden="1" x14ac:dyDescent="0.25">
      <c r="A327" s="73">
        <v>326</v>
      </c>
      <c r="B327" s="71" t="s">
        <v>1352</v>
      </c>
      <c r="C327" s="73">
        <v>1</v>
      </c>
      <c r="D327" s="73" t="s">
        <v>1019</v>
      </c>
    </row>
    <row r="328" spans="1:4" hidden="1" x14ac:dyDescent="0.25">
      <c r="A328" s="73">
        <v>327</v>
      </c>
      <c r="B328" s="72" t="s">
        <v>1914</v>
      </c>
      <c r="C328" s="73">
        <v>1</v>
      </c>
      <c r="D328" s="73" t="s">
        <v>1019</v>
      </c>
    </row>
    <row r="329" spans="1:4" hidden="1" x14ac:dyDescent="0.25">
      <c r="A329" s="73">
        <v>328</v>
      </c>
      <c r="B329" s="71" t="s">
        <v>1907</v>
      </c>
      <c r="C329" s="73">
        <v>1</v>
      </c>
      <c r="D329" s="73" t="s">
        <v>1019</v>
      </c>
    </row>
    <row r="330" spans="1:4" x14ac:dyDescent="0.25">
      <c r="A330" s="73">
        <v>677</v>
      </c>
      <c r="B330" s="71" t="s">
        <v>1925</v>
      </c>
      <c r="C330" s="73">
        <v>0.64</v>
      </c>
      <c r="D330" s="73" t="s">
        <v>1018</v>
      </c>
    </row>
    <row r="331" spans="1:4" hidden="1" x14ac:dyDescent="0.25">
      <c r="A331" s="73">
        <v>330</v>
      </c>
      <c r="B331" s="72" t="s">
        <v>1353</v>
      </c>
      <c r="C331" s="73">
        <v>1</v>
      </c>
      <c r="D331" s="73" t="s">
        <v>1019</v>
      </c>
    </row>
    <row r="332" spans="1:4" hidden="1" x14ac:dyDescent="0.25">
      <c r="A332" s="73">
        <v>331</v>
      </c>
      <c r="B332" s="72" t="s">
        <v>1354</v>
      </c>
      <c r="C332" s="73">
        <v>1</v>
      </c>
      <c r="D332" s="73" t="s">
        <v>1019</v>
      </c>
    </row>
    <row r="333" spans="1:4" x14ac:dyDescent="0.25">
      <c r="A333" s="73">
        <v>93</v>
      </c>
      <c r="B333" s="71" t="s">
        <v>1070</v>
      </c>
      <c r="C333" s="73">
        <v>1.05</v>
      </c>
      <c r="D333" s="73" t="s">
        <v>1018</v>
      </c>
    </row>
    <row r="334" spans="1:4" hidden="1" x14ac:dyDescent="0.25">
      <c r="A334" s="73">
        <v>333</v>
      </c>
      <c r="B334" s="72" t="s">
        <v>1356</v>
      </c>
      <c r="C334" s="73">
        <v>1</v>
      </c>
      <c r="D334" s="73" t="s">
        <v>1019</v>
      </c>
    </row>
    <row r="335" spans="1:4" hidden="1" x14ac:dyDescent="0.25">
      <c r="A335" s="73">
        <v>334</v>
      </c>
      <c r="B335" s="72" t="s">
        <v>1357</v>
      </c>
      <c r="C335" s="73">
        <v>4</v>
      </c>
      <c r="D335" s="73" t="s">
        <v>1019</v>
      </c>
    </row>
    <row r="336" spans="1:4" hidden="1" x14ac:dyDescent="0.25">
      <c r="A336" s="73">
        <v>335</v>
      </c>
      <c r="B336" s="72" t="s">
        <v>1358</v>
      </c>
      <c r="C336" s="73">
        <v>1</v>
      </c>
      <c r="D336" s="73" t="s">
        <v>1019</v>
      </c>
    </row>
    <row r="337" spans="1:4" hidden="1" x14ac:dyDescent="0.25">
      <c r="A337" s="73">
        <v>336</v>
      </c>
      <c r="B337" s="72" t="s">
        <v>1359</v>
      </c>
      <c r="C337" s="73">
        <v>1</v>
      </c>
      <c r="D337" s="73" t="s">
        <v>1019</v>
      </c>
    </row>
    <row r="338" spans="1:4" x14ac:dyDescent="0.25">
      <c r="A338" s="73">
        <v>343</v>
      </c>
      <c r="B338" s="72" t="s">
        <v>1071</v>
      </c>
      <c r="C338" s="73">
        <v>0.6</v>
      </c>
      <c r="D338" s="73" t="s">
        <v>1018</v>
      </c>
    </row>
    <row r="339" spans="1:4" hidden="1" x14ac:dyDescent="0.25">
      <c r="A339" s="73">
        <v>338</v>
      </c>
      <c r="B339" s="72" t="s">
        <v>1361</v>
      </c>
      <c r="C339" s="73">
        <v>1</v>
      </c>
      <c r="D339" s="73" t="s">
        <v>1019</v>
      </c>
    </row>
    <row r="340" spans="1:4" hidden="1" x14ac:dyDescent="0.25">
      <c r="A340" s="73">
        <v>339</v>
      </c>
      <c r="B340" s="72" t="s">
        <v>1362</v>
      </c>
      <c r="C340" s="73">
        <v>4</v>
      </c>
      <c r="D340" s="73" t="s">
        <v>1019</v>
      </c>
    </row>
    <row r="341" spans="1:4" hidden="1" x14ac:dyDescent="0.25">
      <c r="A341" s="73">
        <v>340</v>
      </c>
      <c r="B341" s="72" t="s">
        <v>1363</v>
      </c>
      <c r="C341" s="73">
        <v>1</v>
      </c>
      <c r="D341" s="73" t="s">
        <v>1019</v>
      </c>
    </row>
    <row r="342" spans="1:4" hidden="1" x14ac:dyDescent="0.25">
      <c r="A342" s="73">
        <v>341</v>
      </c>
      <c r="B342" s="72" t="s">
        <v>1364</v>
      </c>
      <c r="C342" s="73">
        <v>1</v>
      </c>
      <c r="D342" s="73" t="s">
        <v>1019</v>
      </c>
    </row>
    <row r="343" spans="1:4" hidden="1" x14ac:dyDescent="0.25">
      <c r="A343" s="73">
        <v>342</v>
      </c>
      <c r="B343" s="72" t="s">
        <v>1365</v>
      </c>
      <c r="C343" s="73">
        <v>4</v>
      </c>
      <c r="D343" s="73" t="s">
        <v>1019</v>
      </c>
    </row>
    <row r="344" spans="1:4" x14ac:dyDescent="0.25">
      <c r="A344" s="73">
        <v>88</v>
      </c>
      <c r="B344" s="72" t="s">
        <v>1899</v>
      </c>
      <c r="C344" s="73">
        <v>1</v>
      </c>
      <c r="D344" s="73" t="s">
        <v>1018</v>
      </c>
    </row>
    <row r="345" spans="1:4" hidden="1" x14ac:dyDescent="0.25">
      <c r="A345" s="73">
        <v>344</v>
      </c>
      <c r="B345" s="72" t="s">
        <v>1366</v>
      </c>
      <c r="C345" s="73">
        <v>1</v>
      </c>
      <c r="D345" s="73" t="s">
        <v>1019</v>
      </c>
    </row>
    <row r="346" spans="1:4" hidden="1" x14ac:dyDescent="0.25">
      <c r="A346" s="73">
        <v>345</v>
      </c>
      <c r="B346" s="72" t="s">
        <v>1752</v>
      </c>
      <c r="C346" s="73">
        <v>1</v>
      </c>
      <c r="D346" s="73" t="s">
        <v>1019</v>
      </c>
    </row>
    <row r="347" spans="1:4" hidden="1" x14ac:dyDescent="0.25">
      <c r="A347" s="73">
        <v>346</v>
      </c>
      <c r="B347" s="72" t="s">
        <v>1367</v>
      </c>
      <c r="C347" s="73">
        <v>1</v>
      </c>
      <c r="D347" s="73" t="s">
        <v>1019</v>
      </c>
    </row>
    <row r="348" spans="1:4" hidden="1" x14ac:dyDescent="0.25">
      <c r="A348" s="73">
        <v>347</v>
      </c>
      <c r="B348" s="72" t="s">
        <v>1368</v>
      </c>
      <c r="C348" s="73">
        <v>1</v>
      </c>
      <c r="D348" s="73" t="s">
        <v>1019</v>
      </c>
    </row>
    <row r="349" spans="1:4" hidden="1" x14ac:dyDescent="0.25">
      <c r="A349" s="73">
        <v>348</v>
      </c>
      <c r="B349" s="72" t="s">
        <v>1369</v>
      </c>
      <c r="C349" s="73">
        <v>1</v>
      </c>
      <c r="D349" s="73" t="s">
        <v>1019</v>
      </c>
    </row>
    <row r="350" spans="1:4" hidden="1" x14ac:dyDescent="0.25">
      <c r="A350" s="73">
        <v>349</v>
      </c>
      <c r="B350" s="72" t="s">
        <v>1371</v>
      </c>
      <c r="C350" s="73">
        <v>1</v>
      </c>
      <c r="D350" s="73" t="s">
        <v>1019</v>
      </c>
    </row>
    <row r="351" spans="1:4" hidden="1" x14ac:dyDescent="0.25">
      <c r="A351" s="73">
        <v>350</v>
      </c>
      <c r="B351" s="72" t="s">
        <v>1374</v>
      </c>
      <c r="C351" s="73">
        <v>1</v>
      </c>
      <c r="D351" s="73" t="s">
        <v>1019</v>
      </c>
    </row>
    <row r="352" spans="1:4" x14ac:dyDescent="0.25">
      <c r="A352" s="73">
        <v>138</v>
      </c>
      <c r="B352" s="72" t="s">
        <v>1922</v>
      </c>
      <c r="C352" s="73">
        <v>3.9299999999999997</v>
      </c>
      <c r="D352" s="73" t="s">
        <v>1018</v>
      </c>
    </row>
    <row r="353" spans="1:4" hidden="1" x14ac:dyDescent="0.25">
      <c r="A353" s="73">
        <v>352</v>
      </c>
      <c r="B353" s="72" t="s">
        <v>1375</v>
      </c>
      <c r="C353" s="73">
        <v>1</v>
      </c>
      <c r="D353" s="73" t="s">
        <v>1019</v>
      </c>
    </row>
    <row r="354" spans="1:4" hidden="1" x14ac:dyDescent="0.25">
      <c r="A354" s="73">
        <v>353</v>
      </c>
      <c r="B354" s="72" t="s">
        <v>1376</v>
      </c>
      <c r="C354" s="73">
        <v>1</v>
      </c>
      <c r="D354" s="73" t="s">
        <v>1019</v>
      </c>
    </row>
    <row r="355" spans="1:4" hidden="1" x14ac:dyDescent="0.25">
      <c r="A355" s="73">
        <v>354</v>
      </c>
      <c r="B355" s="72" t="s">
        <v>1377</v>
      </c>
      <c r="C355" s="73">
        <v>1</v>
      </c>
      <c r="D355" s="73" t="s">
        <v>1019</v>
      </c>
    </row>
    <row r="356" spans="1:4" hidden="1" x14ac:dyDescent="0.25">
      <c r="A356" s="73">
        <v>355</v>
      </c>
      <c r="B356" s="72" t="s">
        <v>1378</v>
      </c>
      <c r="C356" s="73">
        <v>1</v>
      </c>
      <c r="D356" s="73" t="s">
        <v>1019</v>
      </c>
    </row>
    <row r="357" spans="1:4" hidden="1" x14ac:dyDescent="0.25">
      <c r="A357" s="73">
        <v>356</v>
      </c>
      <c r="B357" s="72" t="s">
        <v>1379</v>
      </c>
      <c r="C357" s="73">
        <v>1</v>
      </c>
      <c r="D357" s="73" t="s">
        <v>1019</v>
      </c>
    </row>
    <row r="358" spans="1:4" hidden="1" x14ac:dyDescent="0.25">
      <c r="A358" s="73">
        <v>357</v>
      </c>
      <c r="B358" s="72" t="s">
        <v>1380</v>
      </c>
      <c r="C358" s="73">
        <v>1</v>
      </c>
      <c r="D358" s="73" t="s">
        <v>1019</v>
      </c>
    </row>
    <row r="359" spans="1:4" hidden="1" x14ac:dyDescent="0.25">
      <c r="A359" s="73">
        <v>358</v>
      </c>
      <c r="B359" s="72" t="s">
        <v>1753</v>
      </c>
      <c r="C359" s="73">
        <v>1</v>
      </c>
      <c r="D359" s="73" t="s">
        <v>1019</v>
      </c>
    </row>
    <row r="360" spans="1:4" hidden="1" x14ac:dyDescent="0.25">
      <c r="A360" s="73">
        <v>359</v>
      </c>
      <c r="B360" s="72" t="s">
        <v>1381</v>
      </c>
      <c r="C360" s="73">
        <v>1</v>
      </c>
      <c r="D360" s="73" t="s">
        <v>1019</v>
      </c>
    </row>
    <row r="361" spans="1:4" hidden="1" x14ac:dyDescent="0.25">
      <c r="A361" s="73">
        <v>360</v>
      </c>
      <c r="B361" s="72" t="s">
        <v>1382</v>
      </c>
      <c r="C361" s="73">
        <v>1</v>
      </c>
      <c r="D361" s="73" t="s">
        <v>1019</v>
      </c>
    </row>
    <row r="362" spans="1:4" hidden="1" x14ac:dyDescent="0.25">
      <c r="A362" s="73">
        <v>361</v>
      </c>
      <c r="B362" s="72" t="s">
        <v>1383</v>
      </c>
      <c r="C362" s="73">
        <v>1</v>
      </c>
      <c r="D362" s="73" t="s">
        <v>1019</v>
      </c>
    </row>
    <row r="363" spans="1:4" hidden="1" x14ac:dyDescent="0.25">
      <c r="A363" s="73">
        <v>362</v>
      </c>
      <c r="B363" s="72" t="s">
        <v>1384</v>
      </c>
      <c r="C363" s="73">
        <v>1</v>
      </c>
      <c r="D363" s="73" t="s">
        <v>1019</v>
      </c>
    </row>
    <row r="364" spans="1:4" hidden="1" x14ac:dyDescent="0.25">
      <c r="A364" s="73">
        <v>363</v>
      </c>
      <c r="B364" s="72" t="s">
        <v>1385</v>
      </c>
      <c r="C364" s="73">
        <v>1</v>
      </c>
      <c r="D364" s="73" t="s">
        <v>1019</v>
      </c>
    </row>
    <row r="365" spans="1:4" ht="30" hidden="1" x14ac:dyDescent="0.25">
      <c r="A365" s="73">
        <v>364</v>
      </c>
      <c r="B365" s="71" t="s">
        <v>1386</v>
      </c>
      <c r="C365" s="73">
        <v>1</v>
      </c>
      <c r="D365" s="73" t="s">
        <v>1019</v>
      </c>
    </row>
    <row r="366" spans="1:4" hidden="1" x14ac:dyDescent="0.25">
      <c r="A366" s="73">
        <v>365</v>
      </c>
      <c r="B366" s="72" t="s">
        <v>1387</v>
      </c>
      <c r="C366" s="73">
        <v>1</v>
      </c>
      <c r="D366" s="73" t="s">
        <v>1019</v>
      </c>
    </row>
    <row r="367" spans="1:4" hidden="1" x14ac:dyDescent="0.25">
      <c r="A367" s="73">
        <v>366</v>
      </c>
      <c r="B367" s="72" t="s">
        <v>1388</v>
      </c>
      <c r="C367" s="73">
        <v>1</v>
      </c>
      <c r="D367" s="73" t="s">
        <v>1019</v>
      </c>
    </row>
    <row r="368" spans="1:4" hidden="1" x14ac:dyDescent="0.25">
      <c r="A368" s="73">
        <v>367</v>
      </c>
      <c r="B368" s="72" t="s">
        <v>1389</v>
      </c>
      <c r="C368" s="73">
        <v>2</v>
      </c>
      <c r="D368" s="73" t="s">
        <v>1019</v>
      </c>
    </row>
    <row r="369" spans="1:4" hidden="1" x14ac:dyDescent="0.25">
      <c r="A369" s="73">
        <v>368</v>
      </c>
      <c r="B369" s="72" t="s">
        <v>1199</v>
      </c>
      <c r="C369" s="73">
        <v>4</v>
      </c>
      <c r="D369" s="73" t="s">
        <v>1019</v>
      </c>
    </row>
    <row r="370" spans="1:4" hidden="1" x14ac:dyDescent="0.25">
      <c r="A370" s="73">
        <v>369</v>
      </c>
      <c r="B370" s="71" t="s">
        <v>1390</v>
      </c>
      <c r="C370" s="73">
        <v>8</v>
      </c>
      <c r="D370" s="73" t="s">
        <v>1019</v>
      </c>
    </row>
    <row r="371" spans="1:4" hidden="1" x14ac:dyDescent="0.25">
      <c r="A371" s="73">
        <v>370</v>
      </c>
      <c r="B371" s="72" t="s">
        <v>1391</v>
      </c>
      <c r="C371" s="73">
        <v>2</v>
      </c>
      <c r="D371" s="73" t="s">
        <v>1019</v>
      </c>
    </row>
    <row r="372" spans="1:4" hidden="1" x14ac:dyDescent="0.25">
      <c r="A372" s="73">
        <v>371</v>
      </c>
      <c r="B372" s="71" t="s">
        <v>1226</v>
      </c>
      <c r="C372" s="73">
        <v>1</v>
      </c>
      <c r="D372" s="73" t="s">
        <v>1019</v>
      </c>
    </row>
    <row r="373" spans="1:4" hidden="1" x14ac:dyDescent="0.25">
      <c r="A373" s="73">
        <v>372</v>
      </c>
      <c r="B373" s="72" t="s">
        <v>1392</v>
      </c>
      <c r="C373" s="73">
        <v>1</v>
      </c>
      <c r="D373" s="73" t="s">
        <v>1019</v>
      </c>
    </row>
    <row r="374" spans="1:4" hidden="1" x14ac:dyDescent="0.25">
      <c r="A374" s="73">
        <v>373</v>
      </c>
      <c r="B374" s="72" t="s">
        <v>1393</v>
      </c>
      <c r="C374" s="73">
        <v>1</v>
      </c>
      <c r="D374" s="73" t="s">
        <v>1019</v>
      </c>
    </row>
    <row r="375" spans="1:4" hidden="1" x14ac:dyDescent="0.25">
      <c r="A375" s="73">
        <v>374</v>
      </c>
      <c r="B375" s="72" t="s">
        <v>1394</v>
      </c>
      <c r="C375" s="73">
        <v>1</v>
      </c>
      <c r="D375" s="73" t="s">
        <v>1019</v>
      </c>
    </row>
    <row r="376" spans="1:4" hidden="1" x14ac:dyDescent="0.25">
      <c r="A376" s="73">
        <v>375</v>
      </c>
      <c r="B376" s="72" t="s">
        <v>1395</v>
      </c>
      <c r="C376" s="73">
        <v>1</v>
      </c>
      <c r="D376" s="73" t="s">
        <v>1019</v>
      </c>
    </row>
    <row r="377" spans="1:4" hidden="1" x14ac:dyDescent="0.25">
      <c r="A377" s="73">
        <v>376</v>
      </c>
      <c r="B377" s="72" t="s">
        <v>1764</v>
      </c>
      <c r="C377" s="73">
        <v>26</v>
      </c>
      <c r="D377" s="73" t="s">
        <v>1019</v>
      </c>
    </row>
    <row r="378" spans="1:4" hidden="1" x14ac:dyDescent="0.25">
      <c r="A378" s="73">
        <v>377</v>
      </c>
      <c r="B378" s="72" t="s">
        <v>1765</v>
      </c>
      <c r="C378" s="73">
        <v>38</v>
      </c>
      <c r="D378" s="73" t="s">
        <v>1019</v>
      </c>
    </row>
    <row r="379" spans="1:4" hidden="1" x14ac:dyDescent="0.25">
      <c r="A379" s="73">
        <v>378</v>
      </c>
      <c r="B379" s="72" t="s">
        <v>1766</v>
      </c>
      <c r="C379" s="73">
        <v>2</v>
      </c>
      <c r="D379" s="73" t="s">
        <v>1019</v>
      </c>
    </row>
    <row r="380" spans="1:4" hidden="1" x14ac:dyDescent="0.25">
      <c r="A380" s="73">
        <v>379</v>
      </c>
      <c r="B380" s="72" t="s">
        <v>1778</v>
      </c>
      <c r="C380" s="73">
        <v>4</v>
      </c>
      <c r="D380" s="73" t="s">
        <v>1019</v>
      </c>
    </row>
    <row r="381" spans="1:4" hidden="1" x14ac:dyDescent="0.25">
      <c r="A381" s="73">
        <v>380</v>
      </c>
      <c r="B381" s="72" t="s">
        <v>1767</v>
      </c>
      <c r="C381" s="73">
        <v>4</v>
      </c>
      <c r="D381" s="73" t="s">
        <v>1019</v>
      </c>
    </row>
    <row r="382" spans="1:4" hidden="1" x14ac:dyDescent="0.25">
      <c r="A382" s="73">
        <v>381</v>
      </c>
      <c r="B382" s="72" t="s">
        <v>1768</v>
      </c>
      <c r="C382" s="73">
        <v>2</v>
      </c>
      <c r="D382" s="73" t="s">
        <v>1019</v>
      </c>
    </row>
    <row r="383" spans="1:4" hidden="1" x14ac:dyDescent="0.25">
      <c r="A383" s="73">
        <v>382</v>
      </c>
      <c r="B383" s="72" t="s">
        <v>1769</v>
      </c>
      <c r="C383" s="73">
        <v>1</v>
      </c>
      <c r="D383" s="73" t="s">
        <v>1019</v>
      </c>
    </row>
    <row r="384" spans="1:4" hidden="1" x14ac:dyDescent="0.25">
      <c r="A384" s="73">
        <v>383</v>
      </c>
      <c r="B384" s="72" t="s">
        <v>1799</v>
      </c>
      <c r="C384" s="73">
        <v>1</v>
      </c>
      <c r="D384" s="73" t="s">
        <v>1019</v>
      </c>
    </row>
    <row r="385" spans="1:4" hidden="1" x14ac:dyDescent="0.25">
      <c r="A385" s="73">
        <v>384</v>
      </c>
      <c r="B385" s="72" t="s">
        <v>1800</v>
      </c>
      <c r="C385" s="73">
        <v>1</v>
      </c>
      <c r="D385" s="73" t="s">
        <v>1019</v>
      </c>
    </row>
    <row r="386" spans="1:4" hidden="1" x14ac:dyDescent="0.25">
      <c r="A386" s="73">
        <v>385</v>
      </c>
      <c r="B386" s="72" t="s">
        <v>1794</v>
      </c>
      <c r="C386" s="73">
        <v>1</v>
      </c>
      <c r="D386" s="73" t="s">
        <v>1019</v>
      </c>
    </row>
    <row r="387" spans="1:4" hidden="1" x14ac:dyDescent="0.25">
      <c r="A387" s="73">
        <v>386</v>
      </c>
      <c r="B387" s="72" t="s">
        <v>1795</v>
      </c>
      <c r="C387" s="73">
        <v>3</v>
      </c>
      <c r="D387" s="73" t="s">
        <v>1019</v>
      </c>
    </row>
    <row r="388" spans="1:4" hidden="1" x14ac:dyDescent="0.25">
      <c r="A388" s="73">
        <v>387</v>
      </c>
      <c r="B388" s="72" t="s">
        <v>1796</v>
      </c>
      <c r="C388" s="73">
        <v>12</v>
      </c>
      <c r="D388" s="73" t="s">
        <v>1019</v>
      </c>
    </row>
    <row r="389" spans="1:4" hidden="1" x14ac:dyDescent="0.25">
      <c r="A389" s="73">
        <v>388</v>
      </c>
      <c r="B389" s="72" t="s">
        <v>1797</v>
      </c>
      <c r="C389" s="73">
        <v>12</v>
      </c>
      <c r="D389" s="73" t="s">
        <v>1019</v>
      </c>
    </row>
    <row r="390" spans="1:4" hidden="1" x14ac:dyDescent="0.25">
      <c r="A390" s="73">
        <v>389</v>
      </c>
      <c r="B390" s="72" t="s">
        <v>1770</v>
      </c>
      <c r="C390" s="73">
        <v>2</v>
      </c>
      <c r="D390" s="73" t="s">
        <v>1019</v>
      </c>
    </row>
    <row r="391" spans="1:4" hidden="1" x14ac:dyDescent="0.25">
      <c r="A391" s="73">
        <v>390</v>
      </c>
      <c r="B391" s="72" t="s">
        <v>1771</v>
      </c>
      <c r="C391" s="73">
        <v>4</v>
      </c>
      <c r="D391" s="73" t="s">
        <v>1019</v>
      </c>
    </row>
    <row r="392" spans="1:4" hidden="1" x14ac:dyDescent="0.25">
      <c r="A392" s="73">
        <v>391</v>
      </c>
      <c r="B392" s="72" t="s">
        <v>1798</v>
      </c>
      <c r="C392" s="73">
        <v>4</v>
      </c>
      <c r="D392" s="73" t="s">
        <v>1019</v>
      </c>
    </row>
    <row r="393" spans="1:4" hidden="1" x14ac:dyDescent="0.25">
      <c r="A393" s="73">
        <v>392</v>
      </c>
      <c r="B393" s="72" t="s">
        <v>1100</v>
      </c>
      <c r="C393" s="73">
        <v>16</v>
      </c>
      <c r="D393" s="73" t="s">
        <v>1019</v>
      </c>
    </row>
    <row r="394" spans="1:4" hidden="1" x14ac:dyDescent="0.25">
      <c r="A394" s="73">
        <v>393</v>
      </c>
      <c r="B394" s="72" t="s">
        <v>1101</v>
      </c>
      <c r="C394" s="73">
        <v>3</v>
      </c>
      <c r="D394" s="73" t="s">
        <v>1019</v>
      </c>
    </row>
    <row r="395" spans="1:4" hidden="1" x14ac:dyDescent="0.25">
      <c r="A395" s="73">
        <v>394</v>
      </c>
      <c r="B395" s="72" t="s">
        <v>1102</v>
      </c>
      <c r="C395" s="73">
        <v>33</v>
      </c>
      <c r="D395" s="73" t="s">
        <v>1019</v>
      </c>
    </row>
    <row r="396" spans="1:4" hidden="1" x14ac:dyDescent="0.25">
      <c r="A396" s="73">
        <v>395</v>
      </c>
      <c r="B396" s="72" t="s">
        <v>1103</v>
      </c>
      <c r="C396" s="73">
        <v>12</v>
      </c>
      <c r="D396" s="73" t="s">
        <v>1019</v>
      </c>
    </row>
    <row r="397" spans="1:4" hidden="1" x14ac:dyDescent="0.25">
      <c r="A397" s="73">
        <v>396</v>
      </c>
      <c r="B397" s="72" t="s">
        <v>1105</v>
      </c>
      <c r="C397" s="73">
        <v>12</v>
      </c>
      <c r="D397" s="73" t="s">
        <v>1019</v>
      </c>
    </row>
    <row r="398" spans="1:4" hidden="1" x14ac:dyDescent="0.25">
      <c r="A398" s="73">
        <v>397</v>
      </c>
      <c r="B398" s="72" t="s">
        <v>1106</v>
      </c>
      <c r="C398" s="73">
        <v>2</v>
      </c>
      <c r="D398" s="73" t="s">
        <v>1019</v>
      </c>
    </row>
    <row r="399" spans="1:4" hidden="1" x14ac:dyDescent="0.25">
      <c r="A399" s="73">
        <v>398</v>
      </c>
      <c r="B399" s="71" t="s">
        <v>1108</v>
      </c>
      <c r="C399" s="73">
        <v>14</v>
      </c>
      <c r="D399" s="73" t="s">
        <v>1019</v>
      </c>
    </row>
    <row r="400" spans="1:4" hidden="1" x14ac:dyDescent="0.25">
      <c r="A400" s="73">
        <v>399</v>
      </c>
      <c r="B400" s="72" t="s">
        <v>1779</v>
      </c>
      <c r="C400" s="73">
        <v>2</v>
      </c>
      <c r="D400" s="73" t="s">
        <v>1019</v>
      </c>
    </row>
    <row r="401" spans="1:4" hidden="1" x14ac:dyDescent="0.25">
      <c r="A401" s="73">
        <v>400</v>
      </c>
      <c r="B401" s="72" t="s">
        <v>1780</v>
      </c>
      <c r="C401" s="73">
        <v>2</v>
      </c>
      <c r="D401" s="73" t="s">
        <v>1019</v>
      </c>
    </row>
    <row r="402" spans="1:4" hidden="1" x14ac:dyDescent="0.25">
      <c r="A402" s="73">
        <v>401</v>
      </c>
      <c r="B402" s="72" t="s">
        <v>1109</v>
      </c>
      <c r="C402" s="73">
        <v>3</v>
      </c>
      <c r="D402" s="73" t="s">
        <v>1019</v>
      </c>
    </row>
    <row r="403" spans="1:4" hidden="1" x14ac:dyDescent="0.25">
      <c r="A403" s="73">
        <v>402</v>
      </c>
      <c r="B403" s="72" t="s">
        <v>1781</v>
      </c>
      <c r="C403" s="73">
        <v>4</v>
      </c>
      <c r="D403" s="73" t="s">
        <v>1019</v>
      </c>
    </row>
    <row r="404" spans="1:4" hidden="1" x14ac:dyDescent="0.25">
      <c r="A404" s="73">
        <v>403</v>
      </c>
      <c r="B404" s="72" t="s">
        <v>1782</v>
      </c>
      <c r="C404" s="73">
        <v>2</v>
      </c>
      <c r="D404" s="73" t="s">
        <v>1019</v>
      </c>
    </row>
    <row r="405" spans="1:4" hidden="1" x14ac:dyDescent="0.25">
      <c r="A405" s="73">
        <v>404</v>
      </c>
      <c r="B405" s="71" t="s">
        <v>2090</v>
      </c>
      <c r="C405" s="73">
        <v>5</v>
      </c>
      <c r="D405" s="73" t="s">
        <v>1019</v>
      </c>
    </row>
    <row r="406" spans="1:4" hidden="1" x14ac:dyDescent="0.25">
      <c r="A406" s="73">
        <v>405</v>
      </c>
      <c r="B406" s="72" t="s">
        <v>1112</v>
      </c>
      <c r="C406" s="73">
        <v>8</v>
      </c>
      <c r="D406" s="73" t="s">
        <v>1019</v>
      </c>
    </row>
    <row r="407" spans="1:4" hidden="1" x14ac:dyDescent="0.25">
      <c r="A407" s="73">
        <v>406</v>
      </c>
      <c r="B407" s="72" t="s">
        <v>1113</v>
      </c>
      <c r="C407" s="73">
        <v>1</v>
      </c>
      <c r="D407" s="73" t="s">
        <v>1019</v>
      </c>
    </row>
    <row r="408" spans="1:4" hidden="1" x14ac:dyDescent="0.25">
      <c r="A408" s="73">
        <v>407</v>
      </c>
      <c r="B408" s="72" t="s">
        <v>1114</v>
      </c>
      <c r="C408" s="73">
        <v>1</v>
      </c>
      <c r="D408" s="73" t="s">
        <v>1019</v>
      </c>
    </row>
    <row r="409" spans="1:4" hidden="1" x14ac:dyDescent="0.25">
      <c r="A409" s="73">
        <v>408</v>
      </c>
      <c r="B409" s="72" t="s">
        <v>1396</v>
      </c>
      <c r="C409" s="73">
        <v>1</v>
      </c>
      <c r="D409" s="73" t="s">
        <v>1019</v>
      </c>
    </row>
    <row r="410" spans="1:4" hidden="1" x14ac:dyDescent="0.25">
      <c r="A410" s="73">
        <v>409</v>
      </c>
      <c r="B410" s="72" t="s">
        <v>1115</v>
      </c>
      <c r="C410" s="73">
        <v>14</v>
      </c>
      <c r="D410" s="73" t="s">
        <v>1019</v>
      </c>
    </row>
    <row r="411" spans="1:4" x14ac:dyDescent="0.25">
      <c r="A411" s="73">
        <v>156</v>
      </c>
      <c r="B411" s="71" t="s">
        <v>1921</v>
      </c>
      <c r="C411" s="73">
        <v>1.1000000000000001</v>
      </c>
      <c r="D411" s="73" t="s">
        <v>1018</v>
      </c>
    </row>
    <row r="412" spans="1:4" hidden="1" x14ac:dyDescent="0.25">
      <c r="A412" s="73">
        <v>411</v>
      </c>
      <c r="B412" s="72" t="s">
        <v>1116</v>
      </c>
      <c r="C412" s="73">
        <v>5</v>
      </c>
      <c r="D412" s="73" t="s">
        <v>1019</v>
      </c>
    </row>
    <row r="413" spans="1:4" hidden="1" x14ac:dyDescent="0.25">
      <c r="A413" s="73">
        <v>412</v>
      </c>
      <c r="B413" s="72" t="s">
        <v>1397</v>
      </c>
      <c r="C413" s="73">
        <v>1</v>
      </c>
      <c r="D413" s="73" t="s">
        <v>1019</v>
      </c>
    </row>
    <row r="414" spans="1:4" hidden="1" x14ac:dyDescent="0.25">
      <c r="A414" s="73">
        <v>413</v>
      </c>
      <c r="B414" s="72" t="s">
        <v>1398</v>
      </c>
      <c r="C414" s="73">
        <v>1</v>
      </c>
      <c r="D414" s="73" t="s">
        <v>1019</v>
      </c>
    </row>
    <row r="415" spans="1:4" hidden="1" x14ac:dyDescent="0.25">
      <c r="A415" s="73">
        <v>414</v>
      </c>
      <c r="B415" s="72" t="s">
        <v>1399</v>
      </c>
      <c r="C415" s="73">
        <v>1</v>
      </c>
      <c r="D415" s="73" t="s">
        <v>1019</v>
      </c>
    </row>
    <row r="416" spans="1:4" hidden="1" x14ac:dyDescent="0.25">
      <c r="A416" s="73">
        <v>415</v>
      </c>
      <c r="B416" s="72" t="s">
        <v>1400</v>
      </c>
      <c r="C416" s="73">
        <v>1</v>
      </c>
      <c r="D416" s="73" t="s">
        <v>1019</v>
      </c>
    </row>
    <row r="417" spans="1:4" ht="30" hidden="1" x14ac:dyDescent="0.25">
      <c r="A417" s="73">
        <v>416</v>
      </c>
      <c r="B417" s="71" t="s">
        <v>1403</v>
      </c>
      <c r="C417" s="73">
        <v>1</v>
      </c>
      <c r="D417" s="73" t="s">
        <v>1019</v>
      </c>
    </row>
    <row r="418" spans="1:4" x14ac:dyDescent="0.25">
      <c r="A418" s="73">
        <v>94</v>
      </c>
      <c r="B418" s="71" t="s">
        <v>1901</v>
      </c>
      <c r="C418" s="73">
        <v>7.09</v>
      </c>
      <c r="D418" s="73" t="s">
        <v>1018</v>
      </c>
    </row>
    <row r="419" spans="1:4" x14ac:dyDescent="0.25">
      <c r="A419" s="73">
        <v>95</v>
      </c>
      <c r="B419" s="72" t="s">
        <v>1902</v>
      </c>
      <c r="C419" s="73">
        <v>6.55</v>
      </c>
      <c r="D419" s="73" t="s">
        <v>1018</v>
      </c>
    </row>
    <row r="420" spans="1:4" x14ac:dyDescent="0.25">
      <c r="A420" s="73">
        <v>150</v>
      </c>
      <c r="B420" s="72" t="s">
        <v>1920</v>
      </c>
      <c r="C420" s="73">
        <v>0.95</v>
      </c>
      <c r="D420" s="73" t="s">
        <v>1018</v>
      </c>
    </row>
    <row r="421" spans="1:4" hidden="1" x14ac:dyDescent="0.25">
      <c r="A421" s="73">
        <v>420</v>
      </c>
      <c r="B421" s="72" t="s">
        <v>1404</v>
      </c>
      <c r="C421" s="73">
        <v>4</v>
      </c>
      <c r="D421" s="73" t="s">
        <v>1019</v>
      </c>
    </row>
    <row r="422" spans="1:4" hidden="1" x14ac:dyDescent="0.25">
      <c r="A422" s="73">
        <v>421</v>
      </c>
      <c r="B422" s="72" t="s">
        <v>1405</v>
      </c>
      <c r="C422" s="73">
        <v>18</v>
      </c>
      <c r="D422" s="73" t="s">
        <v>1019</v>
      </c>
    </row>
    <row r="423" spans="1:4" hidden="1" x14ac:dyDescent="0.25">
      <c r="A423" s="73">
        <v>422</v>
      </c>
      <c r="B423" s="72" t="s">
        <v>616</v>
      </c>
      <c r="C423" s="73">
        <v>8</v>
      </c>
      <c r="D423" s="73" t="s">
        <v>1019</v>
      </c>
    </row>
    <row r="424" spans="1:4" hidden="1" x14ac:dyDescent="0.25">
      <c r="A424" s="73">
        <v>423</v>
      </c>
      <c r="B424" s="72" t="s">
        <v>215</v>
      </c>
      <c r="C424" s="73">
        <v>8</v>
      </c>
      <c r="D424" s="73" t="s">
        <v>1019</v>
      </c>
    </row>
    <row r="425" spans="1:4" hidden="1" x14ac:dyDescent="0.25">
      <c r="A425" s="73">
        <v>424</v>
      </c>
      <c r="B425" s="72" t="s">
        <v>214</v>
      </c>
      <c r="C425" s="73">
        <v>8</v>
      </c>
      <c r="D425" s="73" t="s">
        <v>1019</v>
      </c>
    </row>
    <row r="426" spans="1:4" hidden="1" x14ac:dyDescent="0.25">
      <c r="A426" s="73">
        <v>425</v>
      </c>
      <c r="B426" s="72" t="s">
        <v>1088</v>
      </c>
      <c r="C426" s="73">
        <v>8</v>
      </c>
      <c r="D426" s="73" t="s">
        <v>1019</v>
      </c>
    </row>
    <row r="427" spans="1:4" hidden="1" x14ac:dyDescent="0.25">
      <c r="A427" s="73">
        <v>426</v>
      </c>
      <c r="B427" s="72" t="s">
        <v>592</v>
      </c>
      <c r="C427" s="73">
        <v>8</v>
      </c>
      <c r="D427" s="73" t="s">
        <v>1019</v>
      </c>
    </row>
    <row r="428" spans="1:4" hidden="1" x14ac:dyDescent="0.25">
      <c r="A428" s="73">
        <v>427</v>
      </c>
      <c r="B428" s="72" t="s">
        <v>1754</v>
      </c>
      <c r="C428" s="73">
        <v>1</v>
      </c>
      <c r="D428" s="73" t="s">
        <v>1019</v>
      </c>
    </row>
    <row r="429" spans="1:4" hidden="1" x14ac:dyDescent="0.25">
      <c r="A429" s="73">
        <v>428</v>
      </c>
      <c r="B429" s="72" t="s">
        <v>1406</v>
      </c>
      <c r="C429" s="73">
        <v>2</v>
      </c>
      <c r="D429" s="73" t="s">
        <v>1019</v>
      </c>
    </row>
    <row r="430" spans="1:4" hidden="1" x14ac:dyDescent="0.25">
      <c r="A430" s="73">
        <v>429</v>
      </c>
      <c r="B430" s="72" t="s">
        <v>1407</v>
      </c>
      <c r="C430" s="73">
        <v>1</v>
      </c>
      <c r="D430" s="73" t="s">
        <v>1019</v>
      </c>
    </row>
    <row r="431" spans="1:4" x14ac:dyDescent="0.25">
      <c r="A431" s="73">
        <v>679</v>
      </c>
      <c r="B431" s="71" t="s">
        <v>1926</v>
      </c>
      <c r="C431" s="73">
        <v>1.03</v>
      </c>
      <c r="D431" s="73" t="s">
        <v>1018</v>
      </c>
    </row>
    <row r="432" spans="1:4" hidden="1" x14ac:dyDescent="0.25">
      <c r="A432" s="73">
        <v>431</v>
      </c>
      <c r="B432" s="72" t="s">
        <v>1408</v>
      </c>
      <c r="C432" s="73">
        <v>1</v>
      </c>
      <c r="D432" s="73" t="s">
        <v>1019</v>
      </c>
    </row>
    <row r="433" spans="1:4" hidden="1" x14ac:dyDescent="0.25">
      <c r="A433" s="73">
        <v>432</v>
      </c>
      <c r="B433" s="72" t="s">
        <v>1409</v>
      </c>
      <c r="C433" s="73">
        <v>0</v>
      </c>
      <c r="D433" s="73" t="s">
        <v>1019</v>
      </c>
    </row>
    <row r="434" spans="1:4" hidden="1" x14ac:dyDescent="0.25">
      <c r="A434" s="73">
        <v>433</v>
      </c>
      <c r="B434" s="72" t="s">
        <v>1410</v>
      </c>
      <c r="C434" s="73">
        <v>1</v>
      </c>
      <c r="D434" s="73" t="s">
        <v>1019</v>
      </c>
    </row>
    <row r="435" spans="1:4" hidden="1" x14ac:dyDescent="0.25">
      <c r="A435" s="73">
        <v>434</v>
      </c>
      <c r="B435" s="72" t="s">
        <v>1411</v>
      </c>
      <c r="C435" s="73">
        <v>1</v>
      </c>
      <c r="D435" s="73" t="s">
        <v>1019</v>
      </c>
    </row>
    <row r="436" spans="1:4" hidden="1" x14ac:dyDescent="0.25">
      <c r="A436" s="73">
        <v>435</v>
      </c>
      <c r="B436" s="71" t="s">
        <v>1412</v>
      </c>
      <c r="C436" s="73">
        <v>1</v>
      </c>
      <c r="D436" s="73" t="s">
        <v>1019</v>
      </c>
    </row>
    <row r="437" spans="1:4" hidden="1" x14ac:dyDescent="0.25">
      <c r="A437" s="73">
        <v>436</v>
      </c>
      <c r="B437" s="72" t="s">
        <v>1413</v>
      </c>
      <c r="C437" s="73">
        <v>1</v>
      </c>
      <c r="D437" s="73" t="s">
        <v>1019</v>
      </c>
    </row>
    <row r="438" spans="1:4" hidden="1" x14ac:dyDescent="0.25">
      <c r="A438" s="73">
        <v>437</v>
      </c>
      <c r="B438" s="72" t="s">
        <v>1414</v>
      </c>
      <c r="C438" s="73">
        <v>2</v>
      </c>
      <c r="D438" s="73" t="s">
        <v>1019</v>
      </c>
    </row>
    <row r="439" spans="1:4" hidden="1" x14ac:dyDescent="0.25">
      <c r="A439" s="73">
        <v>438</v>
      </c>
      <c r="B439" s="72" t="s">
        <v>1415</v>
      </c>
      <c r="C439" s="73">
        <v>1</v>
      </c>
      <c r="D439" s="73" t="s">
        <v>1019</v>
      </c>
    </row>
    <row r="440" spans="1:4" hidden="1" x14ac:dyDescent="0.25">
      <c r="A440" s="73">
        <v>439</v>
      </c>
      <c r="B440" s="72" t="s">
        <v>1416</v>
      </c>
      <c r="C440" s="73">
        <v>1</v>
      </c>
      <c r="D440" s="73" t="s">
        <v>1019</v>
      </c>
    </row>
    <row r="441" spans="1:4" hidden="1" x14ac:dyDescent="0.25">
      <c r="A441" s="73">
        <v>440</v>
      </c>
      <c r="B441" s="72" t="s">
        <v>1417</v>
      </c>
      <c r="C441" s="73">
        <v>1</v>
      </c>
      <c r="D441" s="73" t="s">
        <v>1019</v>
      </c>
    </row>
    <row r="442" spans="1:4" hidden="1" x14ac:dyDescent="0.25">
      <c r="A442" s="73">
        <v>441</v>
      </c>
      <c r="B442" s="72" t="s">
        <v>1418</v>
      </c>
      <c r="C442" s="73">
        <v>1</v>
      </c>
      <c r="D442" s="73" t="s">
        <v>1019</v>
      </c>
    </row>
    <row r="443" spans="1:4" hidden="1" x14ac:dyDescent="0.25">
      <c r="A443" s="73">
        <v>442</v>
      </c>
      <c r="B443" s="72" t="s">
        <v>1419</v>
      </c>
      <c r="C443" s="73">
        <v>1</v>
      </c>
      <c r="D443" s="73" t="s">
        <v>1019</v>
      </c>
    </row>
    <row r="444" spans="1:4" hidden="1" x14ac:dyDescent="0.25">
      <c r="A444" s="73">
        <v>443</v>
      </c>
      <c r="B444" s="72" t="s">
        <v>210</v>
      </c>
      <c r="D444" s="73" t="s">
        <v>1019</v>
      </c>
    </row>
    <row r="445" spans="1:4" ht="30" hidden="1" x14ac:dyDescent="0.25">
      <c r="A445" s="73">
        <v>444</v>
      </c>
      <c r="B445" s="71" t="s">
        <v>1801</v>
      </c>
      <c r="C445" s="73">
        <v>2</v>
      </c>
      <c r="D445" s="73" t="s">
        <v>1019</v>
      </c>
    </row>
    <row r="446" spans="1:4" ht="30" hidden="1" x14ac:dyDescent="0.25">
      <c r="A446" s="73">
        <v>445</v>
      </c>
      <c r="B446" s="71" t="s">
        <v>1868</v>
      </c>
      <c r="C446" s="73">
        <v>4</v>
      </c>
      <c r="D446" s="73" t="s">
        <v>1019</v>
      </c>
    </row>
    <row r="447" spans="1:4" ht="45" hidden="1" x14ac:dyDescent="0.25">
      <c r="A447" s="73">
        <v>446</v>
      </c>
      <c r="B447" s="71" t="s">
        <v>1869</v>
      </c>
      <c r="C447" s="73">
        <v>2</v>
      </c>
      <c r="D447" s="73" t="s">
        <v>1019</v>
      </c>
    </row>
    <row r="448" spans="1:4" hidden="1" x14ac:dyDescent="0.25">
      <c r="A448" s="73">
        <v>447</v>
      </c>
      <c r="B448" s="71" t="s">
        <v>1420</v>
      </c>
      <c r="C448" s="73">
        <v>4</v>
      </c>
      <c r="D448" s="73" t="s">
        <v>1019</v>
      </c>
    </row>
    <row r="449" spans="1:4" hidden="1" x14ac:dyDescent="0.25">
      <c r="A449" s="73">
        <v>448</v>
      </c>
      <c r="B449" s="72" t="s">
        <v>1421</v>
      </c>
      <c r="C449" s="73">
        <v>4</v>
      </c>
      <c r="D449" s="73" t="s">
        <v>1019</v>
      </c>
    </row>
    <row r="450" spans="1:4" hidden="1" x14ac:dyDescent="0.25">
      <c r="A450" s="73">
        <v>449</v>
      </c>
      <c r="B450" s="72" t="s">
        <v>1422</v>
      </c>
      <c r="C450" s="73">
        <v>4</v>
      </c>
      <c r="D450" s="73" t="s">
        <v>1019</v>
      </c>
    </row>
    <row r="451" spans="1:4" hidden="1" x14ac:dyDescent="0.25">
      <c r="A451" s="73">
        <v>450</v>
      </c>
      <c r="B451" s="72" t="s">
        <v>1423</v>
      </c>
      <c r="C451" s="73">
        <v>1</v>
      </c>
      <c r="D451" s="73" t="s">
        <v>1019</v>
      </c>
    </row>
    <row r="452" spans="1:4" hidden="1" x14ac:dyDescent="0.25">
      <c r="A452" s="73">
        <v>451</v>
      </c>
      <c r="B452" s="72" t="s">
        <v>1424</v>
      </c>
      <c r="C452" s="73">
        <v>1</v>
      </c>
      <c r="D452" s="73" t="s">
        <v>1019</v>
      </c>
    </row>
    <row r="453" spans="1:4" hidden="1" x14ac:dyDescent="0.25">
      <c r="A453" s="73">
        <v>452</v>
      </c>
      <c r="B453" s="71" t="s">
        <v>1425</v>
      </c>
      <c r="C453" s="73">
        <v>1</v>
      </c>
      <c r="D453" s="73" t="s">
        <v>1019</v>
      </c>
    </row>
    <row r="454" spans="1:4" hidden="1" x14ac:dyDescent="0.25">
      <c r="A454" s="73">
        <v>453</v>
      </c>
      <c r="B454" s="72" t="s">
        <v>1426</v>
      </c>
      <c r="C454" s="73">
        <v>1</v>
      </c>
      <c r="D454" s="73" t="s">
        <v>1019</v>
      </c>
    </row>
    <row r="455" spans="1:4" hidden="1" x14ac:dyDescent="0.25">
      <c r="A455" s="73">
        <v>454</v>
      </c>
      <c r="B455" s="72" t="s">
        <v>1427</v>
      </c>
      <c r="C455" s="73">
        <v>1</v>
      </c>
      <c r="D455" s="73" t="s">
        <v>1019</v>
      </c>
    </row>
    <row r="456" spans="1:4" hidden="1" x14ac:dyDescent="0.25">
      <c r="A456" s="73">
        <v>455</v>
      </c>
      <c r="B456" s="72" t="s">
        <v>1932</v>
      </c>
      <c r="C456" s="73">
        <v>1</v>
      </c>
      <c r="D456" s="73" t="s">
        <v>1019</v>
      </c>
    </row>
    <row r="457" spans="1:4" hidden="1" x14ac:dyDescent="0.25">
      <c r="A457" s="73">
        <v>456</v>
      </c>
      <c r="B457" s="71" t="s">
        <v>1428</v>
      </c>
      <c r="C457" s="73">
        <v>1</v>
      </c>
      <c r="D457" s="73" t="s">
        <v>1019</v>
      </c>
    </row>
    <row r="458" spans="1:4" hidden="1" x14ac:dyDescent="0.25">
      <c r="A458" s="73">
        <v>457</v>
      </c>
      <c r="B458" s="72" t="s">
        <v>1933</v>
      </c>
      <c r="C458" s="73">
        <v>4</v>
      </c>
      <c r="D458" s="73" t="s">
        <v>1019</v>
      </c>
    </row>
    <row r="459" spans="1:4" hidden="1" x14ac:dyDescent="0.25">
      <c r="A459" s="73">
        <v>458</v>
      </c>
      <c r="B459" s="71" t="s">
        <v>1429</v>
      </c>
      <c r="C459" s="73">
        <v>2</v>
      </c>
      <c r="D459" s="73" t="s">
        <v>1019</v>
      </c>
    </row>
    <row r="460" spans="1:4" hidden="1" x14ac:dyDescent="0.25">
      <c r="A460" s="73">
        <v>459</v>
      </c>
      <c r="B460" s="72" t="s">
        <v>1430</v>
      </c>
      <c r="C460" s="73">
        <v>1</v>
      </c>
      <c r="D460" s="73" t="s">
        <v>1019</v>
      </c>
    </row>
    <row r="461" spans="1:4" hidden="1" x14ac:dyDescent="0.25">
      <c r="A461" s="73">
        <v>460</v>
      </c>
      <c r="B461" s="72" t="s">
        <v>1431</v>
      </c>
      <c r="C461" s="73">
        <v>1</v>
      </c>
      <c r="D461" s="73" t="s">
        <v>1019</v>
      </c>
    </row>
    <row r="462" spans="1:4" hidden="1" x14ac:dyDescent="0.25">
      <c r="A462" s="73">
        <v>461</v>
      </c>
      <c r="B462" s="72" t="s">
        <v>1432</v>
      </c>
      <c r="C462" s="73">
        <v>1</v>
      </c>
      <c r="D462" s="73" t="s">
        <v>1019</v>
      </c>
    </row>
    <row r="463" spans="1:4" hidden="1" x14ac:dyDescent="0.25">
      <c r="A463" s="73">
        <v>462</v>
      </c>
      <c r="B463" s="72" t="s">
        <v>1433</v>
      </c>
      <c r="C463" s="73">
        <v>2</v>
      </c>
      <c r="D463" s="73" t="s">
        <v>1019</v>
      </c>
    </row>
    <row r="464" spans="1:4" hidden="1" x14ac:dyDescent="0.25">
      <c r="A464" s="73">
        <v>463</v>
      </c>
      <c r="B464" s="72" t="s">
        <v>1434</v>
      </c>
      <c r="C464" s="73">
        <v>2</v>
      </c>
      <c r="D464" s="73" t="s">
        <v>1019</v>
      </c>
    </row>
    <row r="465" spans="1:4" hidden="1" x14ac:dyDescent="0.25">
      <c r="A465" s="73">
        <v>464</v>
      </c>
      <c r="B465" s="72" t="s">
        <v>1435</v>
      </c>
      <c r="C465" s="73">
        <v>6</v>
      </c>
      <c r="D465" s="73" t="s">
        <v>1019</v>
      </c>
    </row>
    <row r="466" spans="1:4" hidden="1" x14ac:dyDescent="0.25">
      <c r="A466" s="73">
        <v>465</v>
      </c>
      <c r="B466" s="72" t="s">
        <v>1436</v>
      </c>
      <c r="C466" s="73">
        <v>31</v>
      </c>
      <c r="D466" s="73" t="s">
        <v>1019</v>
      </c>
    </row>
    <row r="467" spans="1:4" hidden="1" x14ac:dyDescent="0.25">
      <c r="A467" s="73">
        <v>466</v>
      </c>
      <c r="B467" s="72" t="s">
        <v>1437</v>
      </c>
      <c r="C467" s="73">
        <v>10</v>
      </c>
      <c r="D467" s="73" t="s">
        <v>1019</v>
      </c>
    </row>
    <row r="468" spans="1:4" hidden="1" x14ac:dyDescent="0.25">
      <c r="A468" s="73">
        <v>467</v>
      </c>
      <c r="B468" s="72" t="s">
        <v>1438</v>
      </c>
      <c r="C468" s="73">
        <v>2</v>
      </c>
      <c r="D468" s="73" t="s">
        <v>1019</v>
      </c>
    </row>
    <row r="469" spans="1:4" hidden="1" x14ac:dyDescent="0.25">
      <c r="A469" s="73">
        <v>468</v>
      </c>
      <c r="B469" s="71" t="s">
        <v>1439</v>
      </c>
      <c r="C469" s="73">
        <v>5</v>
      </c>
      <c r="D469" s="73" t="s">
        <v>1019</v>
      </c>
    </row>
    <row r="470" spans="1:4" hidden="1" x14ac:dyDescent="0.25">
      <c r="A470" s="73">
        <v>469</v>
      </c>
      <c r="B470" s="72" t="s">
        <v>1440</v>
      </c>
      <c r="C470" s="73">
        <v>6</v>
      </c>
      <c r="D470" s="73" t="s">
        <v>1019</v>
      </c>
    </row>
    <row r="471" spans="1:4" hidden="1" x14ac:dyDescent="0.25">
      <c r="A471" s="73">
        <v>470</v>
      </c>
      <c r="B471" s="72" t="s">
        <v>1441</v>
      </c>
      <c r="C471" s="73">
        <v>1</v>
      </c>
      <c r="D471" s="73" t="s">
        <v>1019</v>
      </c>
    </row>
    <row r="472" spans="1:4" hidden="1" x14ac:dyDescent="0.25">
      <c r="A472" s="73">
        <v>471</v>
      </c>
      <c r="B472" s="72" t="s">
        <v>1442</v>
      </c>
      <c r="C472" s="73">
        <v>1</v>
      </c>
      <c r="D472" s="73" t="s">
        <v>1019</v>
      </c>
    </row>
    <row r="473" spans="1:4" hidden="1" x14ac:dyDescent="0.25">
      <c r="A473" s="73">
        <v>472</v>
      </c>
      <c r="B473" s="72" t="s">
        <v>1443</v>
      </c>
      <c r="C473" s="73">
        <v>1</v>
      </c>
      <c r="D473" s="73" t="s">
        <v>1019</v>
      </c>
    </row>
    <row r="474" spans="1:4" hidden="1" x14ac:dyDescent="0.25">
      <c r="A474" s="73">
        <v>473</v>
      </c>
      <c r="B474" s="71" t="s">
        <v>1444</v>
      </c>
      <c r="C474" s="73">
        <v>1</v>
      </c>
      <c r="D474" s="73" t="s">
        <v>1019</v>
      </c>
    </row>
    <row r="475" spans="1:4" hidden="1" x14ac:dyDescent="0.25">
      <c r="A475" s="73">
        <v>474</v>
      </c>
      <c r="B475" s="72" t="s">
        <v>1445</v>
      </c>
      <c r="C475" s="73">
        <v>2</v>
      </c>
      <c r="D475" s="73" t="s">
        <v>1019</v>
      </c>
    </row>
    <row r="476" spans="1:4" hidden="1" x14ac:dyDescent="0.25">
      <c r="A476" s="73">
        <v>475</v>
      </c>
      <c r="B476" s="72" t="s">
        <v>1446</v>
      </c>
      <c r="C476" s="73">
        <v>3</v>
      </c>
      <c r="D476" s="73" t="s">
        <v>1019</v>
      </c>
    </row>
    <row r="477" spans="1:4" hidden="1" x14ac:dyDescent="0.25">
      <c r="A477" s="73">
        <v>476</v>
      </c>
      <c r="B477" s="72" t="s">
        <v>1447</v>
      </c>
      <c r="C477" s="73">
        <v>1</v>
      </c>
      <c r="D477" s="73" t="s">
        <v>1019</v>
      </c>
    </row>
    <row r="478" spans="1:4" hidden="1" x14ac:dyDescent="0.25">
      <c r="A478" s="73">
        <v>477</v>
      </c>
      <c r="B478" s="71" t="s">
        <v>1448</v>
      </c>
      <c r="C478" s="73">
        <v>2</v>
      </c>
      <c r="D478" s="73" t="s">
        <v>1019</v>
      </c>
    </row>
    <row r="479" spans="1:4" hidden="1" x14ac:dyDescent="0.25">
      <c r="A479" s="73">
        <v>478</v>
      </c>
      <c r="B479" s="72" t="s">
        <v>1449</v>
      </c>
      <c r="C479" s="73">
        <v>1</v>
      </c>
      <c r="D479" s="73" t="s">
        <v>1019</v>
      </c>
    </row>
    <row r="480" spans="1:4" hidden="1" x14ac:dyDescent="0.25">
      <c r="A480" s="73">
        <v>479</v>
      </c>
      <c r="B480" s="72" t="s">
        <v>1450</v>
      </c>
      <c r="C480" s="73">
        <v>1</v>
      </c>
      <c r="D480" s="73" t="s">
        <v>1019</v>
      </c>
    </row>
    <row r="481" spans="1:4" hidden="1" x14ac:dyDescent="0.25">
      <c r="A481" s="73">
        <v>480</v>
      </c>
      <c r="B481" s="72" t="s">
        <v>1451</v>
      </c>
      <c r="C481" s="73">
        <v>1</v>
      </c>
      <c r="D481" s="73" t="s">
        <v>1019</v>
      </c>
    </row>
    <row r="482" spans="1:4" hidden="1" x14ac:dyDescent="0.25">
      <c r="A482" s="73">
        <v>481</v>
      </c>
      <c r="B482" s="72" t="s">
        <v>1452</v>
      </c>
      <c r="C482" s="73">
        <v>1</v>
      </c>
      <c r="D482" s="73" t="s">
        <v>1019</v>
      </c>
    </row>
    <row r="483" spans="1:4" hidden="1" x14ac:dyDescent="0.25">
      <c r="A483" s="73">
        <v>482</v>
      </c>
      <c r="B483" s="72" t="s">
        <v>1453</v>
      </c>
      <c r="C483" s="73">
        <v>1</v>
      </c>
      <c r="D483" s="73" t="s">
        <v>1019</v>
      </c>
    </row>
    <row r="484" spans="1:4" hidden="1" x14ac:dyDescent="0.25">
      <c r="A484" s="73">
        <v>483</v>
      </c>
      <c r="B484" s="72" t="s">
        <v>1454</v>
      </c>
      <c r="C484" s="73">
        <v>1</v>
      </c>
      <c r="D484" s="73" t="s">
        <v>1019</v>
      </c>
    </row>
    <row r="485" spans="1:4" hidden="1" x14ac:dyDescent="0.25">
      <c r="A485" s="73">
        <v>484</v>
      </c>
      <c r="B485" s="72" t="s">
        <v>1455</v>
      </c>
      <c r="C485" s="73">
        <v>1</v>
      </c>
      <c r="D485" s="73" t="s">
        <v>1019</v>
      </c>
    </row>
    <row r="486" spans="1:4" hidden="1" x14ac:dyDescent="0.25">
      <c r="A486" s="73">
        <v>485</v>
      </c>
      <c r="B486" s="72" t="s">
        <v>1456</v>
      </c>
      <c r="C486" s="73">
        <v>1</v>
      </c>
      <c r="D486" s="73" t="s">
        <v>1019</v>
      </c>
    </row>
    <row r="487" spans="1:4" hidden="1" x14ac:dyDescent="0.25">
      <c r="A487" s="73">
        <v>486</v>
      </c>
      <c r="B487" s="72" t="s">
        <v>1457</v>
      </c>
      <c r="C487" s="73">
        <v>1</v>
      </c>
      <c r="D487" s="73" t="s">
        <v>1019</v>
      </c>
    </row>
    <row r="488" spans="1:4" hidden="1" x14ac:dyDescent="0.25">
      <c r="A488" s="73">
        <v>487</v>
      </c>
      <c r="B488" s="72" t="s">
        <v>1458</v>
      </c>
      <c r="C488" s="73">
        <v>1</v>
      </c>
      <c r="D488" s="73" t="s">
        <v>1019</v>
      </c>
    </row>
    <row r="489" spans="1:4" hidden="1" x14ac:dyDescent="0.25">
      <c r="A489" s="73">
        <v>488</v>
      </c>
      <c r="B489" s="72" t="s">
        <v>1459</v>
      </c>
      <c r="C489" s="73">
        <v>1</v>
      </c>
      <c r="D489" s="73" t="s">
        <v>1019</v>
      </c>
    </row>
    <row r="490" spans="1:4" hidden="1" x14ac:dyDescent="0.25">
      <c r="A490" s="73">
        <v>489</v>
      </c>
      <c r="B490" s="72" t="s">
        <v>1460</v>
      </c>
      <c r="C490" s="73">
        <v>1</v>
      </c>
      <c r="D490" s="73" t="s">
        <v>1019</v>
      </c>
    </row>
    <row r="491" spans="1:4" hidden="1" x14ac:dyDescent="0.25">
      <c r="A491" s="73">
        <v>490</v>
      </c>
      <c r="B491" s="72" t="s">
        <v>1461</v>
      </c>
      <c r="C491" s="73">
        <v>1</v>
      </c>
      <c r="D491" s="73" t="s">
        <v>1019</v>
      </c>
    </row>
    <row r="492" spans="1:4" hidden="1" x14ac:dyDescent="0.25">
      <c r="A492" s="73">
        <v>491</v>
      </c>
      <c r="B492" s="72" t="s">
        <v>1462</v>
      </c>
      <c r="C492" s="73">
        <v>3</v>
      </c>
      <c r="D492" s="73" t="s">
        <v>1019</v>
      </c>
    </row>
    <row r="493" spans="1:4" hidden="1" x14ac:dyDescent="0.25">
      <c r="A493" s="73">
        <v>492</v>
      </c>
      <c r="B493" s="72" t="s">
        <v>1463</v>
      </c>
      <c r="C493" s="73">
        <v>3</v>
      </c>
      <c r="D493" s="73" t="s">
        <v>1019</v>
      </c>
    </row>
    <row r="494" spans="1:4" hidden="1" x14ac:dyDescent="0.25">
      <c r="A494" s="73">
        <v>493</v>
      </c>
      <c r="B494" s="72" t="s">
        <v>1464</v>
      </c>
      <c r="C494" s="73">
        <v>2</v>
      </c>
      <c r="D494" s="73" t="s">
        <v>1019</v>
      </c>
    </row>
    <row r="495" spans="1:4" hidden="1" x14ac:dyDescent="0.25">
      <c r="A495" s="73">
        <v>494</v>
      </c>
      <c r="B495" s="72" t="s">
        <v>1465</v>
      </c>
      <c r="C495" s="73">
        <v>1</v>
      </c>
      <c r="D495" s="73" t="s">
        <v>1019</v>
      </c>
    </row>
    <row r="496" spans="1:4" hidden="1" x14ac:dyDescent="0.25">
      <c r="A496" s="73">
        <v>495</v>
      </c>
      <c r="B496" s="72" t="s">
        <v>1466</v>
      </c>
      <c r="C496" s="73">
        <v>1</v>
      </c>
      <c r="D496" s="73" t="s">
        <v>1019</v>
      </c>
    </row>
    <row r="497" spans="1:4" hidden="1" x14ac:dyDescent="0.25">
      <c r="A497" s="73">
        <v>496</v>
      </c>
      <c r="B497" s="72" t="s">
        <v>1467</v>
      </c>
      <c r="C497" s="73">
        <v>1</v>
      </c>
      <c r="D497" s="73" t="s">
        <v>1019</v>
      </c>
    </row>
    <row r="498" spans="1:4" hidden="1" x14ac:dyDescent="0.25">
      <c r="A498" s="73">
        <v>497</v>
      </c>
      <c r="B498" s="72" t="s">
        <v>1468</v>
      </c>
      <c r="C498" s="73">
        <v>1</v>
      </c>
      <c r="D498" s="73" t="s">
        <v>1019</v>
      </c>
    </row>
    <row r="499" spans="1:4" hidden="1" x14ac:dyDescent="0.25">
      <c r="A499" s="73">
        <v>498</v>
      </c>
      <c r="B499" s="72" t="s">
        <v>1469</v>
      </c>
      <c r="C499" s="73">
        <v>14</v>
      </c>
      <c r="D499" s="73" t="s">
        <v>1019</v>
      </c>
    </row>
    <row r="500" spans="1:4" hidden="1" x14ac:dyDescent="0.25">
      <c r="A500" s="73">
        <v>499</v>
      </c>
      <c r="B500" s="71" t="s">
        <v>1470</v>
      </c>
      <c r="C500" s="73">
        <v>5</v>
      </c>
      <c r="D500" s="73" t="s">
        <v>1019</v>
      </c>
    </row>
    <row r="501" spans="1:4" hidden="1" x14ac:dyDescent="0.25">
      <c r="A501" s="73">
        <v>500</v>
      </c>
      <c r="B501" s="72" t="s">
        <v>1471</v>
      </c>
      <c r="C501" s="73">
        <v>9</v>
      </c>
      <c r="D501" s="73" t="s">
        <v>1019</v>
      </c>
    </row>
    <row r="502" spans="1:4" hidden="1" x14ac:dyDescent="0.25">
      <c r="A502" s="73">
        <v>501</v>
      </c>
      <c r="B502" s="72" t="s">
        <v>1472</v>
      </c>
      <c r="C502" s="73">
        <v>1</v>
      </c>
      <c r="D502" s="73" t="s">
        <v>1019</v>
      </c>
    </row>
    <row r="503" spans="1:4" hidden="1" x14ac:dyDescent="0.25">
      <c r="A503" s="73">
        <v>502</v>
      </c>
      <c r="B503" s="72" t="s">
        <v>1473</v>
      </c>
      <c r="C503" s="73">
        <v>2</v>
      </c>
      <c r="D503" s="73" t="s">
        <v>1019</v>
      </c>
    </row>
    <row r="504" spans="1:4" hidden="1" x14ac:dyDescent="0.25">
      <c r="A504" s="73">
        <v>503</v>
      </c>
      <c r="B504" s="71" t="s">
        <v>1474</v>
      </c>
      <c r="C504" s="73">
        <v>1</v>
      </c>
      <c r="D504" s="73" t="s">
        <v>1019</v>
      </c>
    </row>
    <row r="505" spans="1:4" hidden="1" x14ac:dyDescent="0.25">
      <c r="A505" s="73">
        <v>504</v>
      </c>
      <c r="B505" s="72" t="s">
        <v>1475</v>
      </c>
      <c r="C505" s="73">
        <v>1</v>
      </c>
      <c r="D505" s="73" t="s">
        <v>1019</v>
      </c>
    </row>
    <row r="506" spans="1:4" hidden="1" x14ac:dyDescent="0.25">
      <c r="A506" s="73">
        <v>505</v>
      </c>
      <c r="B506" s="72" t="s">
        <v>1476</v>
      </c>
      <c r="C506" s="73">
        <v>7</v>
      </c>
      <c r="D506" s="73" t="s">
        <v>1019</v>
      </c>
    </row>
    <row r="507" spans="1:4" hidden="1" x14ac:dyDescent="0.25">
      <c r="A507" s="73">
        <v>506</v>
      </c>
      <c r="B507" s="72" t="s">
        <v>1477</v>
      </c>
      <c r="C507" s="73">
        <v>7</v>
      </c>
      <c r="D507" s="73" t="s">
        <v>1019</v>
      </c>
    </row>
    <row r="508" spans="1:4" hidden="1" x14ac:dyDescent="0.25">
      <c r="A508" s="73">
        <v>507</v>
      </c>
      <c r="B508" s="72" t="s">
        <v>1478</v>
      </c>
      <c r="C508" s="73">
        <v>5</v>
      </c>
      <c r="D508" s="73" t="s">
        <v>1019</v>
      </c>
    </row>
    <row r="509" spans="1:4" hidden="1" x14ac:dyDescent="0.25">
      <c r="A509" s="73">
        <v>508</v>
      </c>
      <c r="B509" s="72" t="s">
        <v>1479</v>
      </c>
      <c r="C509" s="73">
        <v>7</v>
      </c>
      <c r="D509" s="73" t="s">
        <v>1019</v>
      </c>
    </row>
    <row r="510" spans="1:4" hidden="1" x14ac:dyDescent="0.25">
      <c r="A510" s="73">
        <v>509</v>
      </c>
      <c r="B510" s="72" t="s">
        <v>1480</v>
      </c>
      <c r="C510" s="73">
        <v>5</v>
      </c>
      <c r="D510" s="73" t="s">
        <v>1019</v>
      </c>
    </row>
    <row r="511" spans="1:4" hidden="1" x14ac:dyDescent="0.25">
      <c r="A511" s="73">
        <v>510</v>
      </c>
      <c r="B511" s="72" t="s">
        <v>1481</v>
      </c>
      <c r="C511" s="73">
        <v>2</v>
      </c>
      <c r="D511" s="73" t="s">
        <v>1019</v>
      </c>
    </row>
    <row r="512" spans="1:4" hidden="1" x14ac:dyDescent="0.25">
      <c r="A512" s="73">
        <v>511</v>
      </c>
      <c r="B512" s="72" t="s">
        <v>1482</v>
      </c>
      <c r="C512" s="73">
        <v>3</v>
      </c>
      <c r="D512" s="73" t="s">
        <v>1019</v>
      </c>
    </row>
    <row r="513" spans="1:4" hidden="1" x14ac:dyDescent="0.25">
      <c r="A513" s="73">
        <v>512</v>
      </c>
      <c r="B513" s="72" t="s">
        <v>1483</v>
      </c>
      <c r="C513" s="73">
        <v>6</v>
      </c>
      <c r="D513" s="73" t="s">
        <v>1019</v>
      </c>
    </row>
    <row r="514" spans="1:4" hidden="1" x14ac:dyDescent="0.25">
      <c r="A514" s="73">
        <v>513</v>
      </c>
      <c r="B514" s="72" t="s">
        <v>1484</v>
      </c>
      <c r="C514" s="73">
        <v>4</v>
      </c>
      <c r="D514" s="73" t="s">
        <v>1019</v>
      </c>
    </row>
    <row r="515" spans="1:4" hidden="1" x14ac:dyDescent="0.25">
      <c r="A515" s="73">
        <v>514</v>
      </c>
      <c r="B515" s="72" t="s">
        <v>1485</v>
      </c>
      <c r="C515" s="73">
        <v>3</v>
      </c>
      <c r="D515" s="73" t="s">
        <v>1019</v>
      </c>
    </row>
    <row r="516" spans="1:4" hidden="1" x14ac:dyDescent="0.25">
      <c r="A516" s="73">
        <v>515</v>
      </c>
      <c r="B516" s="72" t="s">
        <v>1486</v>
      </c>
      <c r="C516" s="73">
        <v>2</v>
      </c>
      <c r="D516" s="73" t="s">
        <v>1019</v>
      </c>
    </row>
    <row r="517" spans="1:4" hidden="1" x14ac:dyDescent="0.25">
      <c r="A517" s="73">
        <v>516</v>
      </c>
      <c r="B517" s="72" t="s">
        <v>1487</v>
      </c>
      <c r="C517" s="73">
        <v>2</v>
      </c>
      <c r="D517" s="73" t="s">
        <v>1019</v>
      </c>
    </row>
    <row r="518" spans="1:4" hidden="1" x14ac:dyDescent="0.25">
      <c r="A518" s="73">
        <v>517</v>
      </c>
      <c r="B518" s="72" t="s">
        <v>1488</v>
      </c>
      <c r="C518" s="73">
        <v>1</v>
      </c>
      <c r="D518" s="73" t="s">
        <v>1019</v>
      </c>
    </row>
    <row r="519" spans="1:4" hidden="1" x14ac:dyDescent="0.25">
      <c r="A519" s="73">
        <v>518</v>
      </c>
      <c r="B519" s="72" t="s">
        <v>1489</v>
      </c>
      <c r="C519" s="73">
        <v>1</v>
      </c>
      <c r="D519" s="73" t="s">
        <v>1019</v>
      </c>
    </row>
    <row r="520" spans="1:4" hidden="1" x14ac:dyDescent="0.25">
      <c r="A520" s="73">
        <v>519</v>
      </c>
      <c r="B520" s="72" t="s">
        <v>1490</v>
      </c>
      <c r="C520" s="73">
        <v>3</v>
      </c>
      <c r="D520" s="73" t="s">
        <v>1019</v>
      </c>
    </row>
    <row r="521" spans="1:4" hidden="1" x14ac:dyDescent="0.25">
      <c r="A521" s="73">
        <v>520</v>
      </c>
      <c r="B521" s="71" t="s">
        <v>1491</v>
      </c>
      <c r="C521" s="73">
        <v>1</v>
      </c>
      <c r="D521" s="73" t="s">
        <v>1019</v>
      </c>
    </row>
    <row r="522" spans="1:4" hidden="1" x14ac:dyDescent="0.25">
      <c r="A522" s="73">
        <v>521</v>
      </c>
      <c r="B522" s="72" t="s">
        <v>1492</v>
      </c>
      <c r="C522" s="73">
        <v>1</v>
      </c>
      <c r="D522" s="73" t="s">
        <v>1019</v>
      </c>
    </row>
    <row r="523" spans="1:4" hidden="1" x14ac:dyDescent="0.25">
      <c r="A523" s="73">
        <v>522</v>
      </c>
      <c r="B523" s="72" t="s">
        <v>1493</v>
      </c>
      <c r="C523" s="73">
        <v>1</v>
      </c>
      <c r="D523" s="73" t="s">
        <v>1019</v>
      </c>
    </row>
    <row r="524" spans="1:4" hidden="1" x14ac:dyDescent="0.25">
      <c r="A524" s="73">
        <v>523</v>
      </c>
      <c r="B524" s="72" t="s">
        <v>1494</v>
      </c>
      <c r="C524" s="73">
        <v>2</v>
      </c>
      <c r="D524" s="73" t="s">
        <v>1019</v>
      </c>
    </row>
    <row r="525" spans="1:4" hidden="1" x14ac:dyDescent="0.25">
      <c r="A525" s="73">
        <v>524</v>
      </c>
      <c r="B525" s="72" t="s">
        <v>1495</v>
      </c>
      <c r="C525" s="73">
        <v>2</v>
      </c>
      <c r="D525" s="73" t="s">
        <v>1019</v>
      </c>
    </row>
    <row r="526" spans="1:4" hidden="1" x14ac:dyDescent="0.25">
      <c r="A526" s="73">
        <v>525</v>
      </c>
      <c r="B526" s="71" t="s">
        <v>1496</v>
      </c>
      <c r="C526" s="73">
        <v>1</v>
      </c>
      <c r="D526" s="73" t="s">
        <v>1019</v>
      </c>
    </row>
    <row r="527" spans="1:4" hidden="1" x14ac:dyDescent="0.25">
      <c r="A527" s="73">
        <v>526</v>
      </c>
      <c r="B527" s="72" t="s">
        <v>1497</v>
      </c>
      <c r="C527" s="73">
        <v>2</v>
      </c>
      <c r="D527" s="73" t="s">
        <v>1019</v>
      </c>
    </row>
    <row r="528" spans="1:4" hidden="1" x14ac:dyDescent="0.25">
      <c r="A528" s="73">
        <v>527</v>
      </c>
      <c r="B528" s="72" t="s">
        <v>1498</v>
      </c>
      <c r="C528" s="73">
        <v>2</v>
      </c>
      <c r="D528" s="73" t="s">
        <v>1019</v>
      </c>
    </row>
    <row r="529" spans="1:4" hidden="1" x14ac:dyDescent="0.25">
      <c r="A529" s="73">
        <v>528</v>
      </c>
      <c r="B529" s="72" t="s">
        <v>1499</v>
      </c>
      <c r="C529" s="73">
        <v>4</v>
      </c>
      <c r="D529" s="73" t="s">
        <v>1019</v>
      </c>
    </row>
    <row r="530" spans="1:4" hidden="1" x14ac:dyDescent="0.25">
      <c r="A530" s="73">
        <v>529</v>
      </c>
      <c r="B530" s="72" t="s">
        <v>1500</v>
      </c>
      <c r="C530" s="73">
        <v>1</v>
      </c>
      <c r="D530" s="73" t="s">
        <v>1019</v>
      </c>
    </row>
    <row r="531" spans="1:4" hidden="1" x14ac:dyDescent="0.25">
      <c r="A531" s="73">
        <v>530</v>
      </c>
      <c r="B531" s="72" t="s">
        <v>1501</v>
      </c>
      <c r="C531" s="73">
        <v>2</v>
      </c>
      <c r="D531" s="73" t="s">
        <v>1019</v>
      </c>
    </row>
    <row r="532" spans="1:4" hidden="1" x14ac:dyDescent="0.25">
      <c r="A532" s="73">
        <v>531</v>
      </c>
      <c r="B532" s="71" t="s">
        <v>1502</v>
      </c>
      <c r="C532" s="73">
        <v>1</v>
      </c>
      <c r="D532" s="73" t="s">
        <v>1019</v>
      </c>
    </row>
    <row r="533" spans="1:4" hidden="1" x14ac:dyDescent="0.25">
      <c r="A533" s="73">
        <v>532</v>
      </c>
      <c r="B533" s="72" t="s">
        <v>1503</v>
      </c>
      <c r="C533" s="73">
        <v>1</v>
      </c>
      <c r="D533" s="73" t="s">
        <v>1019</v>
      </c>
    </row>
    <row r="534" spans="1:4" hidden="1" x14ac:dyDescent="0.25">
      <c r="A534" s="73">
        <v>533</v>
      </c>
      <c r="B534" s="72" t="s">
        <v>1504</v>
      </c>
      <c r="C534" s="73">
        <v>2</v>
      </c>
      <c r="D534" s="73" t="s">
        <v>1019</v>
      </c>
    </row>
    <row r="535" spans="1:4" hidden="1" x14ac:dyDescent="0.25">
      <c r="A535" s="73">
        <v>534</v>
      </c>
      <c r="B535" s="71" t="s">
        <v>1505</v>
      </c>
      <c r="C535" s="73">
        <v>1</v>
      </c>
      <c r="D535" s="73" t="s">
        <v>1019</v>
      </c>
    </row>
    <row r="536" spans="1:4" hidden="1" x14ac:dyDescent="0.25">
      <c r="A536" s="73">
        <v>535</v>
      </c>
      <c r="B536" s="72" t="s">
        <v>1506</v>
      </c>
      <c r="C536" s="73">
        <v>1</v>
      </c>
      <c r="D536" s="73" t="s">
        <v>1019</v>
      </c>
    </row>
    <row r="537" spans="1:4" hidden="1" x14ac:dyDescent="0.25">
      <c r="A537" s="73">
        <v>536</v>
      </c>
      <c r="B537" s="72" t="s">
        <v>1507</v>
      </c>
      <c r="C537" s="73">
        <v>1</v>
      </c>
      <c r="D537" s="73" t="s">
        <v>1019</v>
      </c>
    </row>
    <row r="538" spans="1:4" hidden="1" x14ac:dyDescent="0.25">
      <c r="A538" s="73">
        <v>537</v>
      </c>
      <c r="B538" s="72" t="s">
        <v>1508</v>
      </c>
      <c r="C538" s="73">
        <v>1</v>
      </c>
      <c r="D538" s="73" t="s">
        <v>1019</v>
      </c>
    </row>
    <row r="539" spans="1:4" hidden="1" x14ac:dyDescent="0.25">
      <c r="A539" s="73">
        <v>538</v>
      </c>
      <c r="B539" s="72" t="s">
        <v>1509</v>
      </c>
      <c r="C539" s="73">
        <v>1</v>
      </c>
      <c r="D539" s="73" t="s">
        <v>1019</v>
      </c>
    </row>
    <row r="540" spans="1:4" ht="30" hidden="1" x14ac:dyDescent="0.25">
      <c r="A540" s="73">
        <v>539</v>
      </c>
      <c r="B540" s="71" t="s">
        <v>1510</v>
      </c>
      <c r="C540" s="73">
        <v>1</v>
      </c>
      <c r="D540" s="73" t="s">
        <v>1019</v>
      </c>
    </row>
    <row r="541" spans="1:4" hidden="1" x14ac:dyDescent="0.25">
      <c r="A541" s="73">
        <v>540</v>
      </c>
      <c r="B541" s="72" t="s">
        <v>1511</v>
      </c>
      <c r="C541" s="73">
        <v>1</v>
      </c>
      <c r="D541" s="73" t="s">
        <v>1019</v>
      </c>
    </row>
    <row r="542" spans="1:4" hidden="1" x14ac:dyDescent="0.25">
      <c r="A542" s="73">
        <v>541</v>
      </c>
      <c r="B542" s="72" t="s">
        <v>1512</v>
      </c>
      <c r="C542" s="73">
        <v>1</v>
      </c>
      <c r="D542" s="73" t="s">
        <v>1019</v>
      </c>
    </row>
    <row r="543" spans="1:4" hidden="1" x14ac:dyDescent="0.25">
      <c r="A543" s="73">
        <v>542</v>
      </c>
      <c r="B543" s="72" t="s">
        <v>1513</v>
      </c>
      <c r="C543" s="73">
        <v>10</v>
      </c>
      <c r="D543" s="73" t="s">
        <v>1019</v>
      </c>
    </row>
    <row r="544" spans="1:4" hidden="1" x14ac:dyDescent="0.25">
      <c r="A544" s="73">
        <v>543</v>
      </c>
      <c r="B544" s="72" t="s">
        <v>1514</v>
      </c>
      <c r="C544" s="73">
        <v>1</v>
      </c>
      <c r="D544" s="73" t="s">
        <v>1019</v>
      </c>
    </row>
    <row r="545" spans="1:4" hidden="1" x14ac:dyDescent="0.25">
      <c r="A545" s="73">
        <v>544</v>
      </c>
      <c r="B545" s="72" t="s">
        <v>1515</v>
      </c>
      <c r="C545" s="73">
        <v>1</v>
      </c>
      <c r="D545" s="73" t="s">
        <v>1019</v>
      </c>
    </row>
    <row r="546" spans="1:4" hidden="1" x14ac:dyDescent="0.25">
      <c r="A546" s="73">
        <v>545</v>
      </c>
      <c r="B546" s="72" t="s">
        <v>1516</v>
      </c>
      <c r="C546" s="73">
        <v>1</v>
      </c>
      <c r="D546" s="73" t="s">
        <v>1019</v>
      </c>
    </row>
    <row r="547" spans="1:4" hidden="1" x14ac:dyDescent="0.25">
      <c r="A547" s="73">
        <v>546</v>
      </c>
      <c r="B547" s="72" t="s">
        <v>1517</v>
      </c>
      <c r="C547" s="73">
        <v>1</v>
      </c>
      <c r="D547" s="73" t="s">
        <v>1019</v>
      </c>
    </row>
    <row r="548" spans="1:4" hidden="1" x14ac:dyDescent="0.25">
      <c r="A548" s="73">
        <v>547</v>
      </c>
      <c r="B548" s="71" t="s">
        <v>1518</v>
      </c>
      <c r="C548" s="73">
        <v>1</v>
      </c>
      <c r="D548" s="73" t="s">
        <v>1019</v>
      </c>
    </row>
    <row r="549" spans="1:4" hidden="1" x14ac:dyDescent="0.25">
      <c r="A549" s="73">
        <v>548</v>
      </c>
      <c r="B549" s="71" t="s">
        <v>1519</v>
      </c>
      <c r="C549" s="73">
        <v>1</v>
      </c>
      <c r="D549" s="73" t="s">
        <v>1019</v>
      </c>
    </row>
    <row r="550" spans="1:4" hidden="1" x14ac:dyDescent="0.25">
      <c r="A550" s="73">
        <v>549</v>
      </c>
      <c r="B550" s="72" t="s">
        <v>1520</v>
      </c>
      <c r="C550" s="73">
        <v>1</v>
      </c>
      <c r="D550" s="73" t="s">
        <v>1019</v>
      </c>
    </row>
    <row r="551" spans="1:4" x14ac:dyDescent="0.25">
      <c r="A551" s="73">
        <v>683</v>
      </c>
      <c r="B551" s="71" t="s">
        <v>1927</v>
      </c>
      <c r="C551" s="73">
        <v>0.84</v>
      </c>
      <c r="D551" s="73" t="s">
        <v>1018</v>
      </c>
    </row>
    <row r="552" spans="1:4" hidden="1" x14ac:dyDescent="0.25">
      <c r="A552" s="73">
        <v>551</v>
      </c>
      <c r="B552" s="72" t="s">
        <v>1521</v>
      </c>
      <c r="C552" s="73">
        <v>1</v>
      </c>
      <c r="D552" s="73" t="s">
        <v>1019</v>
      </c>
    </row>
    <row r="553" spans="1:4" hidden="1" x14ac:dyDescent="0.25">
      <c r="A553" s="73">
        <v>552</v>
      </c>
      <c r="B553" s="72" t="s">
        <v>1522</v>
      </c>
      <c r="C553" s="73">
        <v>1</v>
      </c>
      <c r="D553" s="73" t="s">
        <v>1019</v>
      </c>
    </row>
    <row r="554" spans="1:4" hidden="1" x14ac:dyDescent="0.25">
      <c r="A554" s="73">
        <v>553</v>
      </c>
      <c r="B554" s="72" t="s">
        <v>1523</v>
      </c>
      <c r="C554" s="73">
        <v>2</v>
      </c>
      <c r="D554" s="73" t="s">
        <v>1019</v>
      </c>
    </row>
    <row r="555" spans="1:4" hidden="1" x14ac:dyDescent="0.25">
      <c r="A555" s="73">
        <v>554</v>
      </c>
      <c r="B555" s="72" t="s">
        <v>1524</v>
      </c>
      <c r="C555" s="73">
        <v>1</v>
      </c>
      <c r="D555" s="73" t="s">
        <v>1019</v>
      </c>
    </row>
    <row r="556" spans="1:4" hidden="1" x14ac:dyDescent="0.25">
      <c r="A556" s="73">
        <v>555</v>
      </c>
      <c r="B556" s="72" t="s">
        <v>1525</v>
      </c>
      <c r="C556" s="73">
        <v>1</v>
      </c>
      <c r="D556" s="73" t="s">
        <v>1019</v>
      </c>
    </row>
    <row r="557" spans="1:4" hidden="1" x14ac:dyDescent="0.25">
      <c r="A557" s="73">
        <v>556</v>
      </c>
      <c r="B557" s="71" t="s">
        <v>1526</v>
      </c>
      <c r="C557" s="73">
        <v>1</v>
      </c>
      <c r="D557" s="73" t="s">
        <v>1019</v>
      </c>
    </row>
    <row r="558" spans="1:4" hidden="1" x14ac:dyDescent="0.25">
      <c r="A558" s="73">
        <v>557</v>
      </c>
      <c r="B558" s="72" t="s">
        <v>1527</v>
      </c>
      <c r="C558" s="73">
        <v>1</v>
      </c>
      <c r="D558" s="73" t="s">
        <v>1019</v>
      </c>
    </row>
    <row r="559" spans="1:4" hidden="1" x14ac:dyDescent="0.25">
      <c r="A559" s="73">
        <v>558</v>
      </c>
      <c r="B559" s="72" t="s">
        <v>1528</v>
      </c>
      <c r="C559" s="73">
        <v>1</v>
      </c>
      <c r="D559" s="73" t="s">
        <v>1019</v>
      </c>
    </row>
    <row r="560" spans="1:4" hidden="1" x14ac:dyDescent="0.25">
      <c r="A560" s="73">
        <v>559</v>
      </c>
      <c r="B560" s="72" t="s">
        <v>1529</v>
      </c>
      <c r="C560" s="73">
        <v>1</v>
      </c>
      <c r="D560" s="73" t="s">
        <v>1019</v>
      </c>
    </row>
    <row r="561" spans="1:4" hidden="1" x14ac:dyDescent="0.25">
      <c r="A561" s="73">
        <v>560</v>
      </c>
      <c r="B561" s="72" t="s">
        <v>1530</v>
      </c>
      <c r="C561" s="73">
        <v>1</v>
      </c>
      <c r="D561" s="73" t="s">
        <v>1019</v>
      </c>
    </row>
    <row r="562" spans="1:4" hidden="1" x14ac:dyDescent="0.25">
      <c r="A562" s="73">
        <v>561</v>
      </c>
      <c r="B562" s="72" t="s">
        <v>1772</v>
      </c>
      <c r="C562" s="73">
        <v>5</v>
      </c>
      <c r="D562" s="73" t="s">
        <v>1019</v>
      </c>
    </row>
    <row r="563" spans="1:4" hidden="1" x14ac:dyDescent="0.25">
      <c r="A563" s="73">
        <v>562</v>
      </c>
      <c r="B563" s="72" t="s">
        <v>1531</v>
      </c>
      <c r="C563" s="73">
        <v>12</v>
      </c>
      <c r="D563" s="73" t="s">
        <v>1019</v>
      </c>
    </row>
    <row r="564" spans="1:4" hidden="1" x14ac:dyDescent="0.25">
      <c r="A564" s="73">
        <v>563</v>
      </c>
      <c r="B564" s="72" t="s">
        <v>1532</v>
      </c>
      <c r="C564" s="73">
        <v>12</v>
      </c>
      <c r="D564" s="73" t="s">
        <v>1019</v>
      </c>
    </row>
    <row r="565" spans="1:4" hidden="1" x14ac:dyDescent="0.25">
      <c r="A565" s="73">
        <v>564</v>
      </c>
      <c r="B565" s="72" t="s">
        <v>1025</v>
      </c>
      <c r="C565" s="73">
        <v>3</v>
      </c>
      <c r="D565" s="73" t="s">
        <v>1019</v>
      </c>
    </row>
    <row r="566" spans="1:4" hidden="1" x14ac:dyDescent="0.25">
      <c r="A566" s="73">
        <v>565</v>
      </c>
      <c r="B566" s="72" t="s">
        <v>1026</v>
      </c>
      <c r="C566" s="73">
        <v>3</v>
      </c>
      <c r="D566" s="73" t="s">
        <v>1019</v>
      </c>
    </row>
    <row r="567" spans="1:4" hidden="1" x14ac:dyDescent="0.25">
      <c r="A567" s="73">
        <v>566</v>
      </c>
      <c r="B567" s="72" t="s">
        <v>1533</v>
      </c>
      <c r="C567" s="73">
        <v>3</v>
      </c>
      <c r="D567" s="73" t="s">
        <v>1019</v>
      </c>
    </row>
    <row r="568" spans="1:4" hidden="1" x14ac:dyDescent="0.25">
      <c r="A568" s="73">
        <v>567</v>
      </c>
      <c r="B568" s="72" t="s">
        <v>1534</v>
      </c>
      <c r="C568" s="73">
        <v>1</v>
      </c>
      <c r="D568" s="73" t="s">
        <v>1019</v>
      </c>
    </row>
    <row r="569" spans="1:4" hidden="1" x14ac:dyDescent="0.25">
      <c r="A569" s="73">
        <v>568</v>
      </c>
      <c r="B569" s="71" t="s">
        <v>1535</v>
      </c>
      <c r="C569" s="73">
        <v>1</v>
      </c>
      <c r="D569" s="73" t="s">
        <v>1019</v>
      </c>
    </row>
    <row r="570" spans="1:4" hidden="1" x14ac:dyDescent="0.25">
      <c r="A570" s="73">
        <v>569</v>
      </c>
      <c r="B570" s="72" t="s">
        <v>1536</v>
      </c>
      <c r="C570" s="73">
        <v>1</v>
      </c>
      <c r="D570" s="73" t="s">
        <v>1019</v>
      </c>
    </row>
    <row r="571" spans="1:4" hidden="1" x14ac:dyDescent="0.25">
      <c r="A571" s="73">
        <v>570</v>
      </c>
      <c r="B571" s="72" t="s">
        <v>1537</v>
      </c>
      <c r="C571" s="73">
        <v>1</v>
      </c>
      <c r="D571" s="73" t="s">
        <v>1019</v>
      </c>
    </row>
    <row r="572" spans="1:4" hidden="1" x14ac:dyDescent="0.25">
      <c r="A572" s="73">
        <v>571</v>
      </c>
      <c r="B572" s="72" t="s">
        <v>79</v>
      </c>
      <c r="C572" s="73">
        <v>1</v>
      </c>
      <c r="D572" s="73" t="s">
        <v>1019</v>
      </c>
    </row>
    <row r="573" spans="1:4" hidden="1" x14ac:dyDescent="0.25">
      <c r="A573" s="73">
        <v>572</v>
      </c>
      <c r="B573" s="72" t="s">
        <v>1538</v>
      </c>
      <c r="C573" s="73">
        <v>1</v>
      </c>
      <c r="D573" s="73" t="s">
        <v>1019</v>
      </c>
    </row>
    <row r="574" spans="1:4" hidden="1" x14ac:dyDescent="0.25">
      <c r="A574" s="73">
        <v>573</v>
      </c>
      <c r="B574" s="71" t="s">
        <v>1539</v>
      </c>
      <c r="C574" s="73">
        <v>1</v>
      </c>
      <c r="D574" s="73" t="s">
        <v>1019</v>
      </c>
    </row>
    <row r="575" spans="1:4" x14ac:dyDescent="0.25">
      <c r="A575" s="73">
        <v>577</v>
      </c>
      <c r="B575" s="72" t="s">
        <v>543</v>
      </c>
      <c r="C575" s="73">
        <v>0.05</v>
      </c>
      <c r="D575" s="73" t="s">
        <v>1018</v>
      </c>
    </row>
    <row r="576" spans="1:4" x14ac:dyDescent="0.25">
      <c r="A576" s="73">
        <v>418</v>
      </c>
      <c r="B576" s="72" t="s">
        <v>1092</v>
      </c>
      <c r="C576" s="73">
        <v>3.5</v>
      </c>
      <c r="D576" s="73" t="s">
        <v>1018</v>
      </c>
    </row>
    <row r="577" spans="1:4" x14ac:dyDescent="0.25">
      <c r="A577" s="73">
        <v>419</v>
      </c>
      <c r="B577" s="72" t="s">
        <v>1094</v>
      </c>
      <c r="C577" s="73">
        <v>1.1000000000000001</v>
      </c>
      <c r="D577" s="73" t="s">
        <v>1018</v>
      </c>
    </row>
    <row r="578" spans="1:4" x14ac:dyDescent="0.25">
      <c r="A578" s="73">
        <v>96</v>
      </c>
      <c r="B578" s="71" t="s">
        <v>1074</v>
      </c>
      <c r="C578" s="73">
        <v>4.32</v>
      </c>
      <c r="D578" s="73" t="s">
        <v>1018</v>
      </c>
    </row>
    <row r="579" spans="1:4" hidden="1" x14ac:dyDescent="0.25">
      <c r="A579" s="73">
        <v>578</v>
      </c>
      <c r="B579" s="71" t="s">
        <v>211</v>
      </c>
      <c r="C579" s="73">
        <v>1</v>
      </c>
      <c r="D579" s="73" t="s">
        <v>1019</v>
      </c>
    </row>
    <row r="580" spans="1:4" hidden="1" x14ac:dyDescent="0.25">
      <c r="A580" s="73">
        <v>579</v>
      </c>
      <c r="B580" s="72" t="s">
        <v>1540</v>
      </c>
      <c r="C580" s="73">
        <v>1</v>
      </c>
      <c r="D580" s="73" t="s">
        <v>1019</v>
      </c>
    </row>
    <row r="581" spans="1:4" ht="30" hidden="1" x14ac:dyDescent="0.25">
      <c r="A581" s="73">
        <v>580</v>
      </c>
      <c r="B581" s="71" t="s">
        <v>1541</v>
      </c>
      <c r="C581" s="73">
        <v>1</v>
      </c>
      <c r="D581" s="73" t="s">
        <v>1019</v>
      </c>
    </row>
    <row r="582" spans="1:4" hidden="1" x14ac:dyDescent="0.25">
      <c r="A582" s="73">
        <v>581</v>
      </c>
      <c r="B582" s="72" t="s">
        <v>1542</v>
      </c>
      <c r="C582" s="73">
        <v>1</v>
      </c>
      <c r="D582" s="73" t="s">
        <v>1019</v>
      </c>
    </row>
    <row r="583" spans="1:4" hidden="1" x14ac:dyDescent="0.25">
      <c r="A583" s="73">
        <v>582</v>
      </c>
      <c r="B583" s="72" t="s">
        <v>1543</v>
      </c>
      <c r="C583" s="73">
        <v>1</v>
      </c>
      <c r="D583" s="73" t="s">
        <v>1019</v>
      </c>
    </row>
    <row r="584" spans="1:4" hidden="1" x14ac:dyDescent="0.25">
      <c r="A584" s="73">
        <v>583</v>
      </c>
      <c r="B584" s="71" t="s">
        <v>626</v>
      </c>
      <c r="C584" s="73">
        <v>1</v>
      </c>
      <c r="D584" s="73" t="s">
        <v>1019</v>
      </c>
    </row>
    <row r="585" spans="1:4" hidden="1" x14ac:dyDescent="0.25">
      <c r="A585" s="73">
        <v>584</v>
      </c>
      <c r="B585" s="72" t="s">
        <v>1756</v>
      </c>
      <c r="C585" s="73">
        <v>1</v>
      </c>
      <c r="D585" s="73" t="s">
        <v>1019</v>
      </c>
    </row>
    <row r="586" spans="1:4" hidden="1" x14ac:dyDescent="0.25">
      <c r="A586" s="73">
        <v>585</v>
      </c>
      <c r="B586" s="72" t="s">
        <v>1773</v>
      </c>
      <c r="C586" s="73">
        <v>1</v>
      </c>
      <c r="D586" s="73" t="s">
        <v>1019</v>
      </c>
    </row>
    <row r="587" spans="1:4" hidden="1" x14ac:dyDescent="0.25">
      <c r="A587" s="73">
        <v>586</v>
      </c>
      <c r="B587" s="72" t="s">
        <v>1774</v>
      </c>
      <c r="C587" s="73">
        <v>1</v>
      </c>
      <c r="D587" s="73" t="s">
        <v>1019</v>
      </c>
    </row>
    <row r="588" spans="1:4" hidden="1" x14ac:dyDescent="0.25">
      <c r="A588" s="73">
        <v>587</v>
      </c>
      <c r="B588" s="72" t="s">
        <v>1775</v>
      </c>
      <c r="C588" s="73">
        <v>1</v>
      </c>
      <c r="D588" s="73" t="s">
        <v>1019</v>
      </c>
    </row>
    <row r="589" spans="1:4" hidden="1" x14ac:dyDescent="0.25">
      <c r="A589" s="73">
        <v>588</v>
      </c>
      <c r="B589" s="72" t="s">
        <v>1544</v>
      </c>
      <c r="C589" s="73">
        <v>2</v>
      </c>
      <c r="D589" s="73" t="s">
        <v>1019</v>
      </c>
    </row>
    <row r="590" spans="1:4" hidden="1" x14ac:dyDescent="0.25">
      <c r="A590" s="73">
        <v>589</v>
      </c>
      <c r="B590" s="72" t="s">
        <v>1545</v>
      </c>
      <c r="C590" s="73">
        <v>1</v>
      </c>
      <c r="D590" s="73" t="s">
        <v>1019</v>
      </c>
    </row>
    <row r="591" spans="1:4" hidden="1" x14ac:dyDescent="0.25">
      <c r="A591" s="73">
        <v>590</v>
      </c>
      <c r="B591" s="72" t="s">
        <v>1546</v>
      </c>
      <c r="C591" s="73">
        <v>1</v>
      </c>
      <c r="D591" s="73" t="s">
        <v>1019</v>
      </c>
    </row>
    <row r="592" spans="1:4" hidden="1" x14ac:dyDescent="0.25">
      <c r="A592" s="73">
        <v>591</v>
      </c>
      <c r="B592" s="72" t="s">
        <v>1547</v>
      </c>
      <c r="C592" s="73">
        <v>2</v>
      </c>
      <c r="D592" s="73" t="s">
        <v>1019</v>
      </c>
    </row>
    <row r="593" spans="1:4" hidden="1" x14ac:dyDescent="0.25">
      <c r="A593" s="73">
        <v>592</v>
      </c>
      <c r="B593" s="72" t="s">
        <v>1548</v>
      </c>
      <c r="C593" s="73">
        <v>1</v>
      </c>
      <c r="D593" s="73" t="s">
        <v>1019</v>
      </c>
    </row>
    <row r="594" spans="1:4" hidden="1" x14ac:dyDescent="0.25">
      <c r="A594" s="73">
        <v>593</v>
      </c>
      <c r="B594" s="72" t="s">
        <v>1549</v>
      </c>
      <c r="C594" s="73">
        <v>1</v>
      </c>
      <c r="D594" s="73" t="s">
        <v>1019</v>
      </c>
    </row>
    <row r="595" spans="1:4" hidden="1" x14ac:dyDescent="0.25">
      <c r="A595" s="73">
        <v>594</v>
      </c>
      <c r="B595" s="72" t="s">
        <v>1550</v>
      </c>
      <c r="C595" s="73">
        <v>2</v>
      </c>
      <c r="D595" s="73" t="s">
        <v>1019</v>
      </c>
    </row>
    <row r="596" spans="1:4" ht="30" hidden="1" x14ac:dyDescent="0.25">
      <c r="A596" s="73">
        <v>595</v>
      </c>
      <c r="B596" s="71" t="s">
        <v>1551</v>
      </c>
      <c r="C596" s="73">
        <v>1</v>
      </c>
      <c r="D596" s="73" t="s">
        <v>1019</v>
      </c>
    </row>
    <row r="597" spans="1:4" hidden="1" x14ac:dyDescent="0.25">
      <c r="A597" s="73">
        <v>596</v>
      </c>
      <c r="B597" s="72" t="s">
        <v>1552</v>
      </c>
      <c r="C597" s="73">
        <v>1</v>
      </c>
      <c r="D597" s="73" t="s">
        <v>1019</v>
      </c>
    </row>
    <row r="598" spans="1:4" hidden="1" x14ac:dyDescent="0.25">
      <c r="A598" s="73">
        <v>597</v>
      </c>
      <c r="B598" s="72" t="s">
        <v>1553</v>
      </c>
      <c r="C598" s="73">
        <v>1</v>
      </c>
      <c r="D598" s="73" t="s">
        <v>1019</v>
      </c>
    </row>
    <row r="599" spans="1:4" hidden="1" x14ac:dyDescent="0.25">
      <c r="A599" s="73">
        <v>598</v>
      </c>
      <c r="B599" s="72" t="s">
        <v>1554</v>
      </c>
      <c r="C599" s="73">
        <v>1</v>
      </c>
      <c r="D599" s="73" t="s">
        <v>1019</v>
      </c>
    </row>
    <row r="600" spans="1:4" hidden="1" x14ac:dyDescent="0.25">
      <c r="A600" s="73">
        <v>599</v>
      </c>
      <c r="B600" s="72" t="s">
        <v>1555</v>
      </c>
      <c r="C600" s="73">
        <v>1</v>
      </c>
      <c r="D600" s="73" t="s">
        <v>1019</v>
      </c>
    </row>
    <row r="601" spans="1:4" hidden="1" x14ac:dyDescent="0.25">
      <c r="A601" s="73">
        <v>600</v>
      </c>
      <c r="B601" s="71" t="s">
        <v>1556</v>
      </c>
      <c r="C601" s="73">
        <v>2</v>
      </c>
      <c r="D601" s="73" t="s">
        <v>1019</v>
      </c>
    </row>
    <row r="602" spans="1:4" hidden="1" x14ac:dyDescent="0.25">
      <c r="A602" s="73">
        <v>601</v>
      </c>
      <c r="B602" s="72" t="s">
        <v>1557</v>
      </c>
      <c r="C602" s="73">
        <v>1</v>
      </c>
      <c r="D602" s="73" t="s">
        <v>1019</v>
      </c>
    </row>
    <row r="603" spans="1:4" hidden="1" x14ac:dyDescent="0.25">
      <c r="A603" s="73">
        <v>602</v>
      </c>
      <c r="B603" s="72" t="s">
        <v>1558</v>
      </c>
      <c r="C603" s="73">
        <v>1</v>
      </c>
      <c r="D603" s="73" t="s">
        <v>1019</v>
      </c>
    </row>
    <row r="604" spans="1:4" hidden="1" x14ac:dyDescent="0.25">
      <c r="A604" s="73">
        <v>603</v>
      </c>
      <c r="B604" s="72" t="s">
        <v>1559</v>
      </c>
      <c r="C604" s="73">
        <v>1</v>
      </c>
      <c r="D604" s="73" t="s">
        <v>1019</v>
      </c>
    </row>
    <row r="605" spans="1:4" hidden="1" x14ac:dyDescent="0.25">
      <c r="A605" s="73">
        <v>604</v>
      </c>
      <c r="B605" s="72" t="s">
        <v>1560</v>
      </c>
      <c r="C605" s="73">
        <v>1</v>
      </c>
      <c r="D605" s="73" t="s">
        <v>1019</v>
      </c>
    </row>
    <row r="606" spans="1:4" hidden="1" x14ac:dyDescent="0.25">
      <c r="A606" s="73">
        <v>605</v>
      </c>
      <c r="B606" s="72" t="s">
        <v>1561</v>
      </c>
      <c r="C606" s="73">
        <v>1</v>
      </c>
      <c r="D606" s="73" t="s">
        <v>1019</v>
      </c>
    </row>
    <row r="607" spans="1:4" hidden="1" x14ac:dyDescent="0.25">
      <c r="A607" s="73">
        <v>606</v>
      </c>
      <c r="B607" s="72" t="s">
        <v>1562</v>
      </c>
      <c r="C607" s="73">
        <v>2</v>
      </c>
      <c r="D607" s="73" t="s">
        <v>1019</v>
      </c>
    </row>
    <row r="608" spans="1:4" hidden="1" x14ac:dyDescent="0.25">
      <c r="A608" s="73">
        <v>607</v>
      </c>
      <c r="B608" s="72" t="s">
        <v>1563</v>
      </c>
      <c r="C608" s="73">
        <v>1</v>
      </c>
      <c r="D608" s="73" t="s">
        <v>1019</v>
      </c>
    </row>
    <row r="609" spans="1:4" hidden="1" x14ac:dyDescent="0.25">
      <c r="A609" s="73">
        <v>608</v>
      </c>
      <c r="B609" s="72" t="s">
        <v>1564</v>
      </c>
      <c r="C609" s="73">
        <v>1</v>
      </c>
      <c r="D609" s="73" t="s">
        <v>1019</v>
      </c>
    </row>
    <row r="610" spans="1:4" hidden="1" x14ac:dyDescent="0.25">
      <c r="A610" s="73">
        <v>609</v>
      </c>
      <c r="B610" s="72" t="s">
        <v>1565</v>
      </c>
      <c r="C610" s="73">
        <v>1</v>
      </c>
      <c r="D610" s="73" t="s">
        <v>1019</v>
      </c>
    </row>
    <row r="611" spans="1:4" ht="45" hidden="1" x14ac:dyDescent="0.25">
      <c r="A611" s="73">
        <v>610</v>
      </c>
      <c r="B611" s="71" t="s">
        <v>1870</v>
      </c>
      <c r="C611" s="73">
        <v>1</v>
      </c>
      <c r="D611" s="73" t="s">
        <v>1019</v>
      </c>
    </row>
    <row r="612" spans="1:4" hidden="1" x14ac:dyDescent="0.25">
      <c r="A612" s="73">
        <v>611</v>
      </c>
      <c r="B612" s="72" t="s">
        <v>1566</v>
      </c>
      <c r="C612" s="73">
        <v>1</v>
      </c>
      <c r="D612" s="73" t="s">
        <v>1019</v>
      </c>
    </row>
    <row r="613" spans="1:4" hidden="1" x14ac:dyDescent="0.25">
      <c r="A613" s="73">
        <v>612</v>
      </c>
      <c r="B613" s="72" t="s">
        <v>1567</v>
      </c>
      <c r="C613" s="73">
        <v>1</v>
      </c>
      <c r="D613" s="73" t="s">
        <v>1019</v>
      </c>
    </row>
    <row r="614" spans="1:4" hidden="1" x14ac:dyDescent="0.25">
      <c r="A614" s="73">
        <v>613</v>
      </c>
      <c r="B614" s="72" t="s">
        <v>1568</v>
      </c>
      <c r="C614" s="73">
        <v>1</v>
      </c>
      <c r="D614" s="73" t="s">
        <v>1019</v>
      </c>
    </row>
    <row r="615" spans="1:4" hidden="1" x14ac:dyDescent="0.25">
      <c r="A615" s="73">
        <v>614</v>
      </c>
      <c r="B615" s="72" t="s">
        <v>1569</v>
      </c>
      <c r="C615" s="73">
        <v>1</v>
      </c>
      <c r="D615" s="73" t="s">
        <v>1019</v>
      </c>
    </row>
    <row r="616" spans="1:4" ht="45" hidden="1" x14ac:dyDescent="0.25">
      <c r="A616" s="73">
        <v>615</v>
      </c>
      <c r="B616" s="71" t="s">
        <v>1570</v>
      </c>
      <c r="C616" s="73">
        <v>1</v>
      </c>
      <c r="D616" s="73" t="s">
        <v>1019</v>
      </c>
    </row>
    <row r="617" spans="1:4" hidden="1" x14ac:dyDescent="0.25">
      <c r="A617" s="73">
        <v>616</v>
      </c>
      <c r="B617" s="72" t="s">
        <v>1571</v>
      </c>
      <c r="C617" s="73">
        <v>1</v>
      </c>
      <c r="D617" s="73" t="s">
        <v>1019</v>
      </c>
    </row>
    <row r="618" spans="1:4" hidden="1" x14ac:dyDescent="0.25">
      <c r="A618" s="73">
        <v>617</v>
      </c>
      <c r="B618" s="72" t="s">
        <v>1572</v>
      </c>
      <c r="C618" s="73">
        <v>3</v>
      </c>
      <c r="D618" s="73" t="s">
        <v>1019</v>
      </c>
    </row>
    <row r="619" spans="1:4" x14ac:dyDescent="0.25">
      <c r="A619" s="73">
        <v>329</v>
      </c>
      <c r="B619" s="71" t="s">
        <v>1906</v>
      </c>
      <c r="C619" s="73">
        <v>0.81</v>
      </c>
      <c r="D619" s="73" t="s">
        <v>1018</v>
      </c>
    </row>
    <row r="620" spans="1:4" hidden="1" x14ac:dyDescent="0.25">
      <c r="A620" s="73">
        <v>619</v>
      </c>
      <c r="B620" s="72" t="s">
        <v>1574</v>
      </c>
      <c r="C620" s="73">
        <v>3</v>
      </c>
      <c r="D620" s="73" t="s">
        <v>1019</v>
      </c>
    </row>
    <row r="621" spans="1:4" hidden="1" x14ac:dyDescent="0.25">
      <c r="A621" s="73">
        <v>620</v>
      </c>
      <c r="B621" s="71" t="s">
        <v>1575</v>
      </c>
      <c r="C621" s="73">
        <v>3</v>
      </c>
      <c r="D621" s="73" t="s">
        <v>1019</v>
      </c>
    </row>
    <row r="622" spans="1:4" ht="30" hidden="1" x14ac:dyDescent="0.25">
      <c r="A622" s="73">
        <v>621</v>
      </c>
      <c r="B622" s="71" t="s">
        <v>1576</v>
      </c>
      <c r="C622" s="73">
        <v>1</v>
      </c>
      <c r="D622" s="73" t="s">
        <v>1019</v>
      </c>
    </row>
    <row r="623" spans="1:4" hidden="1" x14ac:dyDescent="0.25">
      <c r="A623" s="73">
        <v>622</v>
      </c>
      <c r="B623" s="72" t="s">
        <v>1577</v>
      </c>
      <c r="C623" s="73">
        <v>1</v>
      </c>
      <c r="D623" s="73" t="s">
        <v>1019</v>
      </c>
    </row>
    <row r="624" spans="1:4" hidden="1" x14ac:dyDescent="0.25">
      <c r="A624" s="73">
        <v>623</v>
      </c>
      <c r="B624" s="72" t="s">
        <v>1578</v>
      </c>
      <c r="C624" s="73">
        <v>1</v>
      </c>
      <c r="D624" s="73" t="s">
        <v>1019</v>
      </c>
    </row>
    <row r="625" spans="1:4" hidden="1" x14ac:dyDescent="0.25">
      <c r="A625" s="73">
        <v>624</v>
      </c>
      <c r="B625" s="72" t="s">
        <v>1579</v>
      </c>
      <c r="C625" s="73">
        <v>1</v>
      </c>
      <c r="D625" s="73" t="s">
        <v>1019</v>
      </c>
    </row>
    <row r="626" spans="1:4" hidden="1" x14ac:dyDescent="0.25">
      <c r="A626" s="73">
        <v>625</v>
      </c>
      <c r="B626" s="72" t="s">
        <v>1580</v>
      </c>
      <c r="C626" s="73">
        <v>1</v>
      </c>
      <c r="D626" s="73" t="s">
        <v>1019</v>
      </c>
    </row>
    <row r="627" spans="1:4" ht="45" hidden="1" x14ac:dyDescent="0.25">
      <c r="A627" s="73">
        <v>626</v>
      </c>
      <c r="B627" s="71" t="s">
        <v>1581</v>
      </c>
      <c r="C627" s="73">
        <v>1</v>
      </c>
      <c r="D627" s="73" t="s">
        <v>1019</v>
      </c>
    </row>
    <row r="628" spans="1:4" hidden="1" x14ac:dyDescent="0.25">
      <c r="A628" s="73">
        <v>627</v>
      </c>
      <c r="B628" s="72" t="s">
        <v>1582</v>
      </c>
      <c r="C628" s="73">
        <v>2</v>
      </c>
      <c r="D628" s="73" t="s">
        <v>1019</v>
      </c>
    </row>
    <row r="629" spans="1:4" hidden="1" x14ac:dyDescent="0.25">
      <c r="A629" s="73">
        <v>628</v>
      </c>
      <c r="B629" s="72" t="s">
        <v>1583</v>
      </c>
      <c r="C629" s="73">
        <v>1</v>
      </c>
      <c r="D629" s="73" t="s">
        <v>1019</v>
      </c>
    </row>
    <row r="630" spans="1:4" ht="45" hidden="1" x14ac:dyDescent="0.25">
      <c r="A630" s="73">
        <v>629</v>
      </c>
      <c r="B630" s="71" t="s">
        <v>1584</v>
      </c>
      <c r="C630" s="73">
        <v>1</v>
      </c>
      <c r="D630" s="73" t="s">
        <v>1019</v>
      </c>
    </row>
    <row r="631" spans="1:4" hidden="1" x14ac:dyDescent="0.25">
      <c r="A631" s="73">
        <v>630</v>
      </c>
      <c r="B631" s="72" t="s">
        <v>1585</v>
      </c>
      <c r="C631" s="73">
        <v>1</v>
      </c>
      <c r="D631" s="73" t="s">
        <v>1019</v>
      </c>
    </row>
    <row r="632" spans="1:4" hidden="1" x14ac:dyDescent="0.25">
      <c r="A632" s="73">
        <v>631</v>
      </c>
      <c r="B632" s="72" t="s">
        <v>1586</v>
      </c>
      <c r="C632" s="73">
        <v>1</v>
      </c>
      <c r="D632" s="73" t="s">
        <v>1019</v>
      </c>
    </row>
    <row r="633" spans="1:4" hidden="1" x14ac:dyDescent="0.25">
      <c r="A633" s="73">
        <v>632</v>
      </c>
      <c r="B633" s="72" t="s">
        <v>1587</v>
      </c>
      <c r="C633" s="73">
        <v>1</v>
      </c>
      <c r="D633" s="73" t="s">
        <v>1019</v>
      </c>
    </row>
    <row r="634" spans="1:4" ht="45" hidden="1" x14ac:dyDescent="0.25">
      <c r="A634" s="73">
        <v>633</v>
      </c>
      <c r="B634" s="71" t="s">
        <v>1588</v>
      </c>
      <c r="C634" s="73">
        <v>1</v>
      </c>
      <c r="D634" s="73" t="s">
        <v>1019</v>
      </c>
    </row>
    <row r="635" spans="1:4" hidden="1" x14ac:dyDescent="0.25">
      <c r="A635" s="73">
        <v>634</v>
      </c>
      <c r="B635" s="72" t="s">
        <v>1589</v>
      </c>
      <c r="C635" s="73">
        <v>1</v>
      </c>
      <c r="D635" s="73" t="s">
        <v>1019</v>
      </c>
    </row>
    <row r="636" spans="1:4" ht="45" hidden="1" x14ac:dyDescent="0.25">
      <c r="A636" s="73">
        <v>635</v>
      </c>
      <c r="B636" s="71" t="s">
        <v>1871</v>
      </c>
      <c r="C636" s="73">
        <v>1</v>
      </c>
      <c r="D636" s="73" t="s">
        <v>1019</v>
      </c>
    </row>
    <row r="637" spans="1:4" ht="45" hidden="1" x14ac:dyDescent="0.25">
      <c r="A637" s="73">
        <v>636</v>
      </c>
      <c r="B637" s="71" t="s">
        <v>1949</v>
      </c>
      <c r="C637" s="73">
        <v>1</v>
      </c>
      <c r="D637" s="73" t="s">
        <v>1019</v>
      </c>
    </row>
    <row r="638" spans="1:4" hidden="1" x14ac:dyDescent="0.25">
      <c r="A638" s="73">
        <v>637</v>
      </c>
      <c r="B638" s="71" t="s">
        <v>1590</v>
      </c>
      <c r="C638" s="73">
        <v>1</v>
      </c>
      <c r="D638" s="73" t="s">
        <v>1019</v>
      </c>
    </row>
    <row r="639" spans="1:4" ht="30" hidden="1" x14ac:dyDescent="0.25">
      <c r="A639" s="73">
        <v>638</v>
      </c>
      <c r="B639" s="71" t="s">
        <v>1950</v>
      </c>
      <c r="C639" s="73">
        <v>1</v>
      </c>
      <c r="D639" s="73" t="s">
        <v>1019</v>
      </c>
    </row>
    <row r="640" spans="1:4" hidden="1" x14ac:dyDescent="0.25">
      <c r="A640" s="73">
        <v>639</v>
      </c>
      <c r="B640" s="71" t="s">
        <v>1591</v>
      </c>
      <c r="C640" s="73">
        <v>1</v>
      </c>
      <c r="D640" s="73" t="s">
        <v>1019</v>
      </c>
    </row>
    <row r="641" spans="1:4" ht="30" hidden="1" x14ac:dyDescent="0.25">
      <c r="A641" s="73">
        <v>640</v>
      </c>
      <c r="B641" s="71" t="s">
        <v>1951</v>
      </c>
      <c r="C641" s="73">
        <v>1</v>
      </c>
      <c r="D641" s="73" t="s">
        <v>1019</v>
      </c>
    </row>
    <row r="642" spans="1:4" ht="30" hidden="1" x14ac:dyDescent="0.25">
      <c r="A642" s="73">
        <v>641</v>
      </c>
      <c r="B642" s="71" t="s">
        <v>1757</v>
      </c>
      <c r="C642" s="73">
        <v>1</v>
      </c>
      <c r="D642" s="73" t="s">
        <v>1019</v>
      </c>
    </row>
    <row r="643" spans="1:4" hidden="1" x14ac:dyDescent="0.25">
      <c r="A643" s="73">
        <v>642</v>
      </c>
      <c r="B643" s="71" t="s">
        <v>1758</v>
      </c>
      <c r="C643" s="73">
        <v>1</v>
      </c>
      <c r="D643" s="73" t="s">
        <v>1019</v>
      </c>
    </row>
    <row r="644" spans="1:4" hidden="1" x14ac:dyDescent="0.25">
      <c r="A644" s="73">
        <v>643</v>
      </c>
      <c r="B644" s="72" t="s">
        <v>1592</v>
      </c>
      <c r="C644" s="73">
        <v>1</v>
      </c>
      <c r="D644" s="73" t="s">
        <v>1019</v>
      </c>
    </row>
    <row r="645" spans="1:4" hidden="1" x14ac:dyDescent="0.25">
      <c r="A645" s="73">
        <v>644</v>
      </c>
      <c r="B645" s="72" t="s">
        <v>1593</v>
      </c>
      <c r="C645" s="73">
        <v>1</v>
      </c>
      <c r="D645" s="73" t="s">
        <v>1019</v>
      </c>
    </row>
    <row r="646" spans="1:4" ht="45" hidden="1" x14ac:dyDescent="0.25">
      <c r="A646" s="73">
        <v>645</v>
      </c>
      <c r="B646" s="71" t="s">
        <v>1952</v>
      </c>
      <c r="C646" s="73">
        <v>1</v>
      </c>
      <c r="D646" s="73" t="s">
        <v>1019</v>
      </c>
    </row>
    <row r="647" spans="1:4" hidden="1" x14ac:dyDescent="0.25">
      <c r="A647" s="73">
        <v>646</v>
      </c>
      <c r="B647" s="71" t="s">
        <v>354</v>
      </c>
      <c r="C647" s="73">
        <v>1</v>
      </c>
      <c r="D647" s="73" t="s">
        <v>1019</v>
      </c>
    </row>
    <row r="648" spans="1:4" hidden="1" x14ac:dyDescent="0.25">
      <c r="A648" s="73">
        <v>647</v>
      </c>
      <c r="B648" s="72" t="s">
        <v>1594</v>
      </c>
      <c r="C648" s="73">
        <v>1</v>
      </c>
      <c r="D648" s="73" t="s">
        <v>1019</v>
      </c>
    </row>
    <row r="649" spans="1:4" hidden="1" x14ac:dyDescent="0.25">
      <c r="A649" s="73">
        <v>648</v>
      </c>
      <c r="B649" s="72" t="s">
        <v>356</v>
      </c>
      <c r="C649" s="73">
        <v>1</v>
      </c>
      <c r="D649" s="73" t="s">
        <v>1019</v>
      </c>
    </row>
    <row r="650" spans="1:4" hidden="1" x14ac:dyDescent="0.25">
      <c r="A650" s="73">
        <v>649</v>
      </c>
      <c r="B650" s="72" t="s">
        <v>1595</v>
      </c>
      <c r="C650" s="73">
        <v>1</v>
      </c>
      <c r="D650" s="73" t="s">
        <v>1019</v>
      </c>
    </row>
    <row r="651" spans="1:4" hidden="1" x14ac:dyDescent="0.25">
      <c r="A651" s="73">
        <v>650</v>
      </c>
      <c r="B651" s="72" t="s">
        <v>1953</v>
      </c>
      <c r="C651" s="73">
        <v>1</v>
      </c>
      <c r="D651" s="73" t="s">
        <v>1019</v>
      </c>
    </row>
    <row r="652" spans="1:4" hidden="1" x14ac:dyDescent="0.25">
      <c r="A652" s="73">
        <v>651</v>
      </c>
      <c r="B652" s="72" t="s">
        <v>1954</v>
      </c>
      <c r="C652" s="73">
        <v>1</v>
      </c>
      <c r="D652" s="73" t="s">
        <v>1019</v>
      </c>
    </row>
    <row r="653" spans="1:4" hidden="1" x14ac:dyDescent="0.25">
      <c r="A653" s="73">
        <v>652</v>
      </c>
      <c r="B653" s="72" t="s">
        <v>1596</v>
      </c>
      <c r="C653" s="73">
        <v>1</v>
      </c>
      <c r="D653" s="73" t="s">
        <v>1019</v>
      </c>
    </row>
    <row r="654" spans="1:4" hidden="1" x14ac:dyDescent="0.25">
      <c r="A654" s="73">
        <v>653</v>
      </c>
      <c r="B654" s="72" t="s">
        <v>1618</v>
      </c>
      <c r="C654" s="73">
        <v>1</v>
      </c>
      <c r="D654" s="73" t="s">
        <v>1019</v>
      </c>
    </row>
    <row r="655" spans="1:4" hidden="1" x14ac:dyDescent="0.25">
      <c r="A655" s="73">
        <v>654</v>
      </c>
      <c r="B655" s="72" t="s">
        <v>1619</v>
      </c>
      <c r="C655" s="73">
        <v>1</v>
      </c>
      <c r="D655" s="73" t="s">
        <v>1019</v>
      </c>
    </row>
    <row r="656" spans="1:4" hidden="1" x14ac:dyDescent="0.25">
      <c r="A656" s="73">
        <v>655</v>
      </c>
      <c r="B656" s="72" t="s">
        <v>1620</v>
      </c>
      <c r="C656" s="73">
        <v>1</v>
      </c>
      <c r="D656" s="73" t="s">
        <v>1019</v>
      </c>
    </row>
    <row r="657" spans="1:4" hidden="1" x14ac:dyDescent="0.25">
      <c r="A657" s="73">
        <v>656</v>
      </c>
      <c r="B657" s="72" t="s">
        <v>1621</v>
      </c>
      <c r="C657" s="73">
        <v>1</v>
      </c>
      <c r="D657" s="73" t="s">
        <v>1019</v>
      </c>
    </row>
    <row r="658" spans="1:4" hidden="1" x14ac:dyDescent="0.25">
      <c r="A658" s="73">
        <v>657</v>
      </c>
      <c r="B658" s="72" t="s">
        <v>1622</v>
      </c>
      <c r="C658" s="73">
        <v>1</v>
      </c>
      <c r="D658" s="73" t="s">
        <v>1019</v>
      </c>
    </row>
    <row r="659" spans="1:4" hidden="1" x14ac:dyDescent="0.25">
      <c r="A659" s="73">
        <v>658</v>
      </c>
      <c r="B659" s="72" t="s">
        <v>1623</v>
      </c>
      <c r="C659" s="73">
        <v>1</v>
      </c>
      <c r="D659" s="73" t="s">
        <v>1019</v>
      </c>
    </row>
    <row r="660" spans="1:4" hidden="1" x14ac:dyDescent="0.25">
      <c r="A660" s="73">
        <v>659</v>
      </c>
      <c r="B660" s="72" t="s">
        <v>1624</v>
      </c>
      <c r="C660" s="73">
        <v>1</v>
      </c>
      <c r="D660" s="73" t="s">
        <v>1019</v>
      </c>
    </row>
    <row r="661" spans="1:4" hidden="1" x14ac:dyDescent="0.25">
      <c r="A661" s="73">
        <v>660</v>
      </c>
      <c r="B661" s="72" t="s">
        <v>1625</v>
      </c>
      <c r="C661" s="73">
        <v>1</v>
      </c>
      <c r="D661" s="73" t="s">
        <v>1019</v>
      </c>
    </row>
    <row r="662" spans="1:4" hidden="1" x14ac:dyDescent="0.25">
      <c r="A662" s="73">
        <v>661</v>
      </c>
      <c r="B662" s="72" t="s">
        <v>1626</v>
      </c>
      <c r="C662" s="73">
        <v>1</v>
      </c>
      <c r="D662" s="73" t="s">
        <v>1019</v>
      </c>
    </row>
    <row r="663" spans="1:4" hidden="1" x14ac:dyDescent="0.25">
      <c r="A663" s="73">
        <v>662</v>
      </c>
      <c r="B663" s="72" t="s">
        <v>1627</v>
      </c>
      <c r="C663" s="73">
        <v>1</v>
      </c>
      <c r="D663" s="73" t="s">
        <v>1019</v>
      </c>
    </row>
    <row r="664" spans="1:4" hidden="1" x14ac:dyDescent="0.25">
      <c r="A664" s="73">
        <v>663</v>
      </c>
      <c r="B664" s="72" t="s">
        <v>1628</v>
      </c>
      <c r="C664" s="73">
        <v>1</v>
      </c>
      <c r="D664" s="73" t="s">
        <v>1019</v>
      </c>
    </row>
    <row r="665" spans="1:4" hidden="1" x14ac:dyDescent="0.25">
      <c r="A665" s="73">
        <v>664</v>
      </c>
      <c r="B665" s="72" t="s">
        <v>1629</v>
      </c>
      <c r="C665" s="73">
        <v>1</v>
      </c>
      <c r="D665" s="73" t="s">
        <v>1019</v>
      </c>
    </row>
    <row r="666" spans="1:4" hidden="1" x14ac:dyDescent="0.25">
      <c r="A666" s="73">
        <v>665</v>
      </c>
      <c r="B666" s="72" t="s">
        <v>1630</v>
      </c>
      <c r="C666" s="73">
        <v>1</v>
      </c>
      <c r="D666" s="73" t="s">
        <v>1019</v>
      </c>
    </row>
    <row r="667" spans="1:4" hidden="1" x14ac:dyDescent="0.25">
      <c r="A667" s="73">
        <v>666</v>
      </c>
      <c r="B667" s="72" t="s">
        <v>1631</v>
      </c>
      <c r="C667" s="73">
        <v>1</v>
      </c>
      <c r="D667" s="73" t="s">
        <v>1019</v>
      </c>
    </row>
    <row r="668" spans="1:4" hidden="1" x14ac:dyDescent="0.25">
      <c r="A668" s="73">
        <v>667</v>
      </c>
      <c r="B668" s="72" t="s">
        <v>1637</v>
      </c>
      <c r="C668" s="73">
        <v>1</v>
      </c>
      <c r="D668" s="73" t="s">
        <v>1019</v>
      </c>
    </row>
    <row r="669" spans="1:4" hidden="1" x14ac:dyDescent="0.25">
      <c r="A669" s="73">
        <v>668</v>
      </c>
      <c r="B669" s="72" t="s">
        <v>1638</v>
      </c>
      <c r="C669" s="73">
        <v>1</v>
      </c>
      <c r="D669" s="73" t="s">
        <v>1019</v>
      </c>
    </row>
    <row r="670" spans="1:4" hidden="1" x14ac:dyDescent="0.25">
      <c r="A670" s="73">
        <v>669</v>
      </c>
      <c r="B670" s="72" t="s">
        <v>1401</v>
      </c>
      <c r="C670" s="73">
        <v>4</v>
      </c>
      <c r="D670" s="73" t="s">
        <v>1019</v>
      </c>
    </row>
    <row r="671" spans="1:4" hidden="1" x14ac:dyDescent="0.25">
      <c r="A671" s="73">
        <v>670</v>
      </c>
      <c r="B671" s="72" t="s">
        <v>1639</v>
      </c>
      <c r="C671" s="73">
        <v>1</v>
      </c>
      <c r="D671" s="73" t="s">
        <v>1019</v>
      </c>
    </row>
    <row r="672" spans="1:4" hidden="1" x14ac:dyDescent="0.25">
      <c r="A672" s="73">
        <v>671</v>
      </c>
      <c r="B672" s="72" t="s">
        <v>1640</v>
      </c>
      <c r="C672" s="73">
        <v>3</v>
      </c>
      <c r="D672" s="73" t="s">
        <v>1019</v>
      </c>
    </row>
    <row r="673" spans="1:4" hidden="1" x14ac:dyDescent="0.25">
      <c r="A673" s="73">
        <v>672</v>
      </c>
      <c r="B673" s="71" t="s">
        <v>1402</v>
      </c>
      <c r="C673" s="73">
        <v>2</v>
      </c>
      <c r="D673" s="73" t="s">
        <v>1019</v>
      </c>
    </row>
    <row r="674" spans="1:4" x14ac:dyDescent="0.25">
      <c r="A674" s="73">
        <v>550</v>
      </c>
      <c r="B674" s="72" t="s">
        <v>1923</v>
      </c>
      <c r="C674" s="73">
        <v>0.3</v>
      </c>
      <c r="D674" s="73" t="s">
        <v>1018</v>
      </c>
    </row>
    <row r="675" spans="1:4" hidden="1" x14ac:dyDescent="0.25">
      <c r="A675" s="73">
        <v>674</v>
      </c>
      <c r="B675" s="72" t="s">
        <v>1641</v>
      </c>
      <c r="C675" s="73">
        <v>1</v>
      </c>
      <c r="D675" s="73" t="s">
        <v>1019</v>
      </c>
    </row>
    <row r="676" spans="1:4" hidden="1" x14ac:dyDescent="0.25">
      <c r="A676" s="73">
        <v>675</v>
      </c>
      <c r="B676" s="72" t="s">
        <v>1642</v>
      </c>
      <c r="C676" s="73">
        <v>1</v>
      </c>
      <c r="D676" s="73" t="s">
        <v>1019</v>
      </c>
    </row>
    <row r="677" spans="1:4" hidden="1" x14ac:dyDescent="0.25">
      <c r="A677" s="73">
        <v>676</v>
      </c>
      <c r="B677" s="72" t="s">
        <v>1643</v>
      </c>
      <c r="C677" s="73">
        <v>3</v>
      </c>
      <c r="D677" s="73" t="s">
        <v>1019</v>
      </c>
    </row>
    <row r="678" spans="1:4" x14ac:dyDescent="0.25">
      <c r="A678" s="73">
        <v>803</v>
      </c>
      <c r="B678" s="72" t="s">
        <v>1891</v>
      </c>
      <c r="C678" s="73">
        <v>0.06</v>
      </c>
      <c r="D678" s="73" t="s">
        <v>1018</v>
      </c>
    </row>
    <row r="679" spans="1:4" hidden="1" x14ac:dyDescent="0.25">
      <c r="A679" s="73">
        <v>678</v>
      </c>
      <c r="B679" s="72" t="s">
        <v>1644</v>
      </c>
      <c r="C679" s="73">
        <v>1</v>
      </c>
      <c r="D679" s="73" t="s">
        <v>1019</v>
      </c>
    </row>
    <row r="680" spans="1:4" x14ac:dyDescent="0.25">
      <c r="A680" s="73">
        <v>119</v>
      </c>
      <c r="B680" s="72" t="s">
        <v>1072</v>
      </c>
      <c r="C680" s="73">
        <v>1.3000000000000003</v>
      </c>
      <c r="D680" s="73" t="s">
        <v>1018</v>
      </c>
    </row>
    <row r="681" spans="1:4" hidden="1" x14ac:dyDescent="0.25">
      <c r="A681" s="73">
        <v>680</v>
      </c>
      <c r="B681" s="72" t="s">
        <v>1645</v>
      </c>
      <c r="C681" s="73">
        <v>1</v>
      </c>
      <c r="D681" s="73" t="s">
        <v>1019</v>
      </c>
    </row>
    <row r="682" spans="1:4" hidden="1" x14ac:dyDescent="0.25">
      <c r="A682" s="73">
        <v>681</v>
      </c>
      <c r="B682" s="72" t="s">
        <v>1646</v>
      </c>
      <c r="C682" s="73">
        <v>1</v>
      </c>
      <c r="D682" s="73" t="s">
        <v>1019</v>
      </c>
    </row>
    <row r="683" spans="1:4" hidden="1" x14ac:dyDescent="0.25">
      <c r="A683" s="73">
        <v>682</v>
      </c>
      <c r="B683" s="72" t="s">
        <v>1647</v>
      </c>
      <c r="C683" s="73">
        <v>1</v>
      </c>
      <c r="D683" s="73" t="s">
        <v>1019</v>
      </c>
    </row>
    <row r="684" spans="1:4" x14ac:dyDescent="0.25">
      <c r="A684" s="73">
        <v>89</v>
      </c>
      <c r="B684" s="72" t="s">
        <v>1900</v>
      </c>
      <c r="C684" s="73">
        <v>1.28</v>
      </c>
      <c r="D684" s="73" t="s">
        <v>1018</v>
      </c>
    </row>
    <row r="685" spans="1:4" hidden="1" x14ac:dyDescent="0.25">
      <c r="A685" s="73">
        <v>684</v>
      </c>
      <c r="B685" s="71" t="s">
        <v>1611</v>
      </c>
      <c r="C685" s="73">
        <v>1</v>
      </c>
      <c r="D685" s="73" t="s">
        <v>1019</v>
      </c>
    </row>
    <row r="686" spans="1:4" hidden="1" x14ac:dyDescent="0.25">
      <c r="A686" s="73">
        <v>685</v>
      </c>
      <c r="B686" s="72" t="s">
        <v>1612</v>
      </c>
      <c r="C686" s="73">
        <v>1</v>
      </c>
      <c r="D686" s="73" t="s">
        <v>1019</v>
      </c>
    </row>
    <row r="687" spans="1:4" hidden="1" x14ac:dyDescent="0.25">
      <c r="A687" s="73">
        <v>686</v>
      </c>
      <c r="B687" s="71" t="s">
        <v>1802</v>
      </c>
      <c r="C687" s="73">
        <v>1</v>
      </c>
      <c r="D687" s="73" t="s">
        <v>1019</v>
      </c>
    </row>
    <row r="688" spans="1:4" hidden="1" x14ac:dyDescent="0.25">
      <c r="A688" s="73">
        <v>687</v>
      </c>
      <c r="B688" s="72" t="s">
        <v>1601</v>
      </c>
      <c r="C688" s="73">
        <v>1</v>
      </c>
      <c r="D688" s="73" t="s">
        <v>1019</v>
      </c>
    </row>
    <row r="689" spans="1:4" hidden="1" x14ac:dyDescent="0.25">
      <c r="A689" s="73">
        <v>688</v>
      </c>
      <c r="B689" s="72" t="s">
        <v>1602</v>
      </c>
      <c r="C689" s="73">
        <v>2</v>
      </c>
      <c r="D689" s="73" t="s">
        <v>1019</v>
      </c>
    </row>
    <row r="690" spans="1:4" hidden="1" x14ac:dyDescent="0.25">
      <c r="A690" s="73">
        <v>689</v>
      </c>
      <c r="B690" s="72" t="s">
        <v>1603</v>
      </c>
      <c r="C690" s="73">
        <v>2</v>
      </c>
      <c r="D690" s="73" t="s">
        <v>1019</v>
      </c>
    </row>
    <row r="691" spans="1:4" hidden="1" x14ac:dyDescent="0.25">
      <c r="A691" s="73">
        <v>690</v>
      </c>
      <c r="B691" s="72" t="s">
        <v>1604</v>
      </c>
      <c r="C691" s="73">
        <v>1</v>
      </c>
      <c r="D691" s="73" t="s">
        <v>1019</v>
      </c>
    </row>
    <row r="692" spans="1:4" hidden="1" x14ac:dyDescent="0.25">
      <c r="A692" s="73">
        <v>691</v>
      </c>
      <c r="B692" s="72" t="s">
        <v>1605</v>
      </c>
      <c r="C692" s="73">
        <v>4</v>
      </c>
      <c r="D692" s="73" t="s">
        <v>1019</v>
      </c>
    </row>
    <row r="693" spans="1:4" hidden="1" x14ac:dyDescent="0.25">
      <c r="A693" s="73">
        <v>692</v>
      </c>
      <c r="B693" s="72" t="s">
        <v>1606</v>
      </c>
      <c r="C693" s="73">
        <v>1</v>
      </c>
      <c r="D693" s="73" t="s">
        <v>1019</v>
      </c>
    </row>
    <row r="694" spans="1:4" hidden="1" x14ac:dyDescent="0.25">
      <c r="A694" s="73">
        <v>693</v>
      </c>
      <c r="B694" s="71" t="s">
        <v>1607</v>
      </c>
      <c r="C694" s="73">
        <v>1</v>
      </c>
      <c r="D694" s="73" t="s">
        <v>1019</v>
      </c>
    </row>
    <row r="695" spans="1:4" hidden="1" x14ac:dyDescent="0.25">
      <c r="A695" s="73">
        <v>694</v>
      </c>
      <c r="B695" s="72" t="s">
        <v>1608</v>
      </c>
      <c r="C695" s="73">
        <v>1</v>
      </c>
      <c r="D695" s="73" t="s">
        <v>1019</v>
      </c>
    </row>
    <row r="696" spans="1:4" hidden="1" x14ac:dyDescent="0.25">
      <c r="A696" s="73">
        <v>695</v>
      </c>
      <c r="B696" s="72" t="s">
        <v>1609</v>
      </c>
      <c r="C696" s="73">
        <v>1</v>
      </c>
      <c r="D696" s="73" t="s">
        <v>1019</v>
      </c>
    </row>
    <row r="697" spans="1:4" hidden="1" x14ac:dyDescent="0.25">
      <c r="A697" s="73">
        <v>696</v>
      </c>
      <c r="B697" s="72" t="s">
        <v>1610</v>
      </c>
      <c r="C697" s="73">
        <v>2</v>
      </c>
      <c r="D697" s="73" t="s">
        <v>1019</v>
      </c>
    </row>
    <row r="698" spans="1:4" hidden="1" x14ac:dyDescent="0.25">
      <c r="A698" s="73">
        <v>697</v>
      </c>
      <c r="B698" s="72" t="s">
        <v>1613</v>
      </c>
      <c r="C698" s="73">
        <v>1</v>
      </c>
      <c r="D698" s="73" t="s">
        <v>1019</v>
      </c>
    </row>
    <row r="699" spans="1:4" hidden="1" x14ac:dyDescent="0.25">
      <c r="A699" s="73">
        <v>698</v>
      </c>
      <c r="B699" s="71" t="s">
        <v>1614</v>
      </c>
      <c r="C699" s="73">
        <v>1</v>
      </c>
      <c r="D699" s="73" t="s">
        <v>1019</v>
      </c>
    </row>
    <row r="700" spans="1:4" hidden="1" x14ac:dyDescent="0.25">
      <c r="A700" s="73">
        <v>699</v>
      </c>
      <c r="B700" s="71" t="s">
        <v>1615</v>
      </c>
      <c r="C700" s="73">
        <v>2</v>
      </c>
      <c r="D700" s="73" t="s">
        <v>1019</v>
      </c>
    </row>
    <row r="701" spans="1:4" hidden="1" x14ac:dyDescent="0.25">
      <c r="A701" s="73">
        <v>700</v>
      </c>
      <c r="B701" s="72" t="s">
        <v>1597</v>
      </c>
      <c r="C701" s="73">
        <v>1</v>
      </c>
      <c r="D701" s="73" t="s">
        <v>1019</v>
      </c>
    </row>
    <row r="702" spans="1:4" hidden="1" x14ac:dyDescent="0.25">
      <c r="A702" s="73">
        <v>701</v>
      </c>
      <c r="B702" s="72" t="s">
        <v>1599</v>
      </c>
      <c r="C702" s="73">
        <v>1</v>
      </c>
      <c r="D702" s="73" t="s">
        <v>1019</v>
      </c>
    </row>
    <row r="703" spans="1:4" hidden="1" x14ac:dyDescent="0.25">
      <c r="A703" s="73">
        <v>702</v>
      </c>
      <c r="B703" s="72" t="s">
        <v>1598</v>
      </c>
      <c r="C703" s="73">
        <v>1</v>
      </c>
      <c r="D703" s="73" t="s">
        <v>1019</v>
      </c>
    </row>
    <row r="704" spans="1:4" hidden="1" x14ac:dyDescent="0.25">
      <c r="A704" s="73">
        <v>703</v>
      </c>
      <c r="B704" s="72" t="s">
        <v>1600</v>
      </c>
      <c r="C704" s="73">
        <v>1</v>
      </c>
      <c r="D704" s="73" t="s">
        <v>1019</v>
      </c>
    </row>
    <row r="705" spans="1:4" ht="30" hidden="1" x14ac:dyDescent="0.25">
      <c r="A705" s="73">
        <v>704</v>
      </c>
      <c r="B705" s="71" t="s">
        <v>1617</v>
      </c>
      <c r="C705" s="73">
        <v>2</v>
      </c>
      <c r="D705" s="73" t="s">
        <v>1019</v>
      </c>
    </row>
    <row r="706" spans="1:4" hidden="1" x14ac:dyDescent="0.25">
      <c r="A706" s="73">
        <v>705</v>
      </c>
      <c r="B706" s="72" t="s">
        <v>1915</v>
      </c>
      <c r="C706" s="73">
        <v>4</v>
      </c>
      <c r="D706" s="73" t="s">
        <v>1019</v>
      </c>
    </row>
    <row r="707" spans="1:4" hidden="1" x14ac:dyDescent="0.25">
      <c r="A707" s="73">
        <v>706</v>
      </c>
      <c r="B707" s="72" t="s">
        <v>1889</v>
      </c>
      <c r="C707" s="73">
        <v>4</v>
      </c>
      <c r="D707" s="73" t="s">
        <v>1019</v>
      </c>
    </row>
    <row r="708" spans="1:4" hidden="1" x14ac:dyDescent="0.25">
      <c r="A708" s="73">
        <v>707</v>
      </c>
      <c r="B708" s="72" t="s">
        <v>345</v>
      </c>
      <c r="C708" s="73">
        <v>8</v>
      </c>
      <c r="D708" s="73" t="s">
        <v>1019</v>
      </c>
    </row>
    <row r="709" spans="1:4" hidden="1" x14ac:dyDescent="0.25">
      <c r="A709" s="73">
        <v>708</v>
      </c>
      <c r="B709" s="72" t="s">
        <v>346</v>
      </c>
      <c r="C709" s="73">
        <v>4</v>
      </c>
      <c r="D709" s="73" t="s">
        <v>1019</v>
      </c>
    </row>
    <row r="710" spans="1:4" hidden="1" x14ac:dyDescent="0.25">
      <c r="A710" s="73">
        <v>709</v>
      </c>
      <c r="B710" s="72" t="s">
        <v>347</v>
      </c>
      <c r="C710" s="73">
        <v>4</v>
      </c>
      <c r="D710" s="73" t="s">
        <v>1019</v>
      </c>
    </row>
    <row r="711" spans="1:4" hidden="1" x14ac:dyDescent="0.25">
      <c r="A711" s="73">
        <v>710</v>
      </c>
      <c r="B711" s="72" t="s">
        <v>1632</v>
      </c>
      <c r="C711" s="73">
        <v>1</v>
      </c>
      <c r="D711" s="73" t="s">
        <v>1019</v>
      </c>
    </row>
    <row r="712" spans="1:4" hidden="1" x14ac:dyDescent="0.25">
      <c r="A712" s="73">
        <v>711</v>
      </c>
      <c r="B712" s="72" t="s">
        <v>1633</v>
      </c>
      <c r="C712" s="73">
        <v>1</v>
      </c>
      <c r="D712" s="73" t="s">
        <v>1019</v>
      </c>
    </row>
    <row r="713" spans="1:4" hidden="1" x14ac:dyDescent="0.25">
      <c r="A713" s="73">
        <v>712</v>
      </c>
      <c r="B713" s="72" t="s">
        <v>1634</v>
      </c>
      <c r="C713" s="73">
        <v>1</v>
      </c>
      <c r="D713" s="73" t="s">
        <v>1019</v>
      </c>
    </row>
    <row r="714" spans="1:4" hidden="1" x14ac:dyDescent="0.25">
      <c r="A714" s="73">
        <v>713</v>
      </c>
      <c r="B714" s="72" t="s">
        <v>1635</v>
      </c>
      <c r="C714" s="73">
        <v>2</v>
      </c>
      <c r="D714" s="73" t="s">
        <v>1019</v>
      </c>
    </row>
    <row r="715" spans="1:4" hidden="1" x14ac:dyDescent="0.25">
      <c r="A715" s="73">
        <v>714</v>
      </c>
      <c r="B715" s="72" t="s">
        <v>1636</v>
      </c>
      <c r="C715" s="73">
        <v>1</v>
      </c>
      <c r="D715" s="73" t="s">
        <v>1019</v>
      </c>
    </row>
    <row r="716" spans="1:4" hidden="1" x14ac:dyDescent="0.25">
      <c r="A716" s="73">
        <v>715</v>
      </c>
      <c r="B716" s="72" t="s">
        <v>1616</v>
      </c>
      <c r="C716" s="73">
        <v>4</v>
      </c>
      <c r="D716" s="73" t="s">
        <v>1019</v>
      </c>
    </row>
    <row r="717" spans="1:4" hidden="1" x14ac:dyDescent="0.25">
      <c r="A717" s="73">
        <v>716</v>
      </c>
      <c r="B717" s="72" t="s">
        <v>1648</v>
      </c>
      <c r="C717" s="73">
        <v>1</v>
      </c>
      <c r="D717" s="73" t="s">
        <v>1019</v>
      </c>
    </row>
    <row r="718" spans="1:4" hidden="1" x14ac:dyDescent="0.25">
      <c r="A718" s="73">
        <v>717</v>
      </c>
      <c r="B718" s="72" t="s">
        <v>1649</v>
      </c>
      <c r="C718" s="73">
        <v>1</v>
      </c>
      <c r="D718" s="73" t="s">
        <v>1019</v>
      </c>
    </row>
    <row r="719" spans="1:4" hidden="1" x14ac:dyDescent="0.25">
      <c r="A719" s="73">
        <v>718</v>
      </c>
      <c r="B719" s="72" t="s">
        <v>1650</v>
      </c>
      <c r="C719" s="73">
        <v>1</v>
      </c>
      <c r="D719" s="73" t="s">
        <v>1019</v>
      </c>
    </row>
    <row r="720" spans="1:4" hidden="1" x14ac:dyDescent="0.25">
      <c r="A720" s="73">
        <v>719</v>
      </c>
      <c r="B720" s="72" t="s">
        <v>1651</v>
      </c>
      <c r="C720" s="73">
        <v>1</v>
      </c>
      <c r="D720" s="73" t="s">
        <v>1019</v>
      </c>
    </row>
    <row r="721" spans="1:4" x14ac:dyDescent="0.25">
      <c r="A721" s="73">
        <v>673</v>
      </c>
      <c r="B721" s="72" t="s">
        <v>1924</v>
      </c>
      <c r="C721" s="73">
        <v>0.08</v>
      </c>
      <c r="D721" s="73" t="s">
        <v>1018</v>
      </c>
    </row>
    <row r="722" spans="1:4" hidden="1" x14ac:dyDescent="0.25">
      <c r="A722" s="73">
        <v>721</v>
      </c>
      <c r="B722" s="72" t="s">
        <v>2091</v>
      </c>
      <c r="C722" s="73">
        <v>1</v>
      </c>
      <c r="D722" s="73" t="s">
        <v>1019</v>
      </c>
    </row>
    <row r="723" spans="1:4" hidden="1" x14ac:dyDescent="0.25">
      <c r="A723" s="73">
        <v>722</v>
      </c>
      <c r="B723" s="72" t="s">
        <v>2092</v>
      </c>
      <c r="C723" s="73">
        <v>1</v>
      </c>
      <c r="D723" s="73" t="s">
        <v>1019</v>
      </c>
    </row>
    <row r="724" spans="1:4" hidden="1" x14ac:dyDescent="0.25">
      <c r="A724" s="73">
        <v>723</v>
      </c>
      <c r="B724" s="72" t="s">
        <v>1955</v>
      </c>
      <c r="C724" s="73">
        <v>1</v>
      </c>
      <c r="D724" s="73" t="s">
        <v>1019</v>
      </c>
    </row>
    <row r="725" spans="1:4" hidden="1" x14ac:dyDescent="0.25">
      <c r="A725" s="73">
        <v>724</v>
      </c>
      <c r="B725" s="72" t="s">
        <v>1872</v>
      </c>
      <c r="C725" s="73">
        <v>1</v>
      </c>
      <c r="D725" s="73" t="s">
        <v>1019</v>
      </c>
    </row>
    <row r="726" spans="1:4" hidden="1" x14ac:dyDescent="0.25">
      <c r="A726" s="73">
        <v>725</v>
      </c>
      <c r="B726" s="72" t="s">
        <v>1873</v>
      </c>
      <c r="C726" s="73">
        <v>1</v>
      </c>
      <c r="D726" s="73" t="s">
        <v>1019</v>
      </c>
    </row>
    <row r="727" spans="1:4" hidden="1" x14ac:dyDescent="0.25">
      <c r="A727" s="73">
        <v>726</v>
      </c>
      <c r="B727" s="71" t="s">
        <v>1874</v>
      </c>
      <c r="C727" s="73">
        <v>1</v>
      </c>
      <c r="D727" s="73" t="s">
        <v>1019</v>
      </c>
    </row>
    <row r="728" spans="1:4" hidden="1" x14ac:dyDescent="0.25">
      <c r="A728" s="73">
        <v>727</v>
      </c>
      <c r="B728" s="72" t="s">
        <v>1652</v>
      </c>
      <c r="C728" s="73">
        <v>1</v>
      </c>
      <c r="D728" s="73" t="s">
        <v>1019</v>
      </c>
    </row>
    <row r="729" spans="1:4" x14ac:dyDescent="0.25">
      <c r="A729" s="73">
        <v>118</v>
      </c>
      <c r="B729" s="72" t="s">
        <v>1065</v>
      </c>
      <c r="C729" s="73">
        <v>9.09</v>
      </c>
      <c r="D729" s="73" t="s">
        <v>1018</v>
      </c>
    </row>
    <row r="730" spans="1:4" hidden="1" x14ac:dyDescent="0.25">
      <c r="A730" s="73">
        <v>729</v>
      </c>
      <c r="B730" s="72" t="s">
        <v>1875</v>
      </c>
      <c r="C730" s="73">
        <v>1</v>
      </c>
      <c r="D730" s="73" t="s">
        <v>1019</v>
      </c>
    </row>
    <row r="731" spans="1:4" hidden="1" x14ac:dyDescent="0.25">
      <c r="A731" s="73">
        <v>730</v>
      </c>
      <c r="B731" s="72" t="s">
        <v>1876</v>
      </c>
      <c r="C731" s="73">
        <v>1</v>
      </c>
      <c r="D731" s="73" t="s">
        <v>1019</v>
      </c>
    </row>
    <row r="732" spans="1:4" hidden="1" x14ac:dyDescent="0.25">
      <c r="A732" s="73">
        <v>731</v>
      </c>
      <c r="B732" s="72" t="s">
        <v>1819</v>
      </c>
      <c r="C732" s="73">
        <v>4</v>
      </c>
      <c r="D732" s="73" t="s">
        <v>1019</v>
      </c>
    </row>
    <row r="733" spans="1:4" hidden="1" x14ac:dyDescent="0.25">
      <c r="A733" s="73">
        <v>732</v>
      </c>
      <c r="B733" s="72" t="s">
        <v>1818</v>
      </c>
      <c r="C733" s="73">
        <v>6</v>
      </c>
      <c r="D733" s="73" t="s">
        <v>1019</v>
      </c>
    </row>
    <row r="734" spans="1:4" hidden="1" x14ac:dyDescent="0.25">
      <c r="A734" s="73">
        <v>733</v>
      </c>
      <c r="B734" s="72" t="s">
        <v>1817</v>
      </c>
      <c r="C734" s="73">
        <v>4</v>
      </c>
      <c r="D734" s="73" t="s">
        <v>1019</v>
      </c>
    </row>
    <row r="735" spans="1:4" hidden="1" x14ac:dyDescent="0.25">
      <c r="A735" s="73">
        <v>734</v>
      </c>
      <c r="B735" s="72" t="s">
        <v>593</v>
      </c>
      <c r="C735" s="73">
        <v>1</v>
      </c>
      <c r="D735" s="73" t="s">
        <v>1019</v>
      </c>
    </row>
    <row r="736" spans="1:4" hidden="1" x14ac:dyDescent="0.25">
      <c r="A736" s="73">
        <v>735</v>
      </c>
      <c r="B736" s="72" t="s">
        <v>1820</v>
      </c>
      <c r="C736" s="73">
        <v>1</v>
      </c>
      <c r="D736" s="73" t="s">
        <v>1019</v>
      </c>
    </row>
    <row r="737" spans="1:4" hidden="1" x14ac:dyDescent="0.25">
      <c r="A737" s="73">
        <v>736</v>
      </c>
      <c r="B737" s="72" t="s">
        <v>1877</v>
      </c>
      <c r="C737" s="73">
        <v>1</v>
      </c>
      <c r="D737" s="73" t="s">
        <v>1019</v>
      </c>
    </row>
    <row r="738" spans="1:4" hidden="1" x14ac:dyDescent="0.25">
      <c r="A738" s="73">
        <v>737</v>
      </c>
      <c r="B738" s="72" t="s">
        <v>594</v>
      </c>
      <c r="C738" s="73">
        <v>1</v>
      </c>
      <c r="D738" s="73" t="s">
        <v>1019</v>
      </c>
    </row>
    <row r="739" spans="1:4" hidden="1" x14ac:dyDescent="0.25">
      <c r="A739" s="73">
        <v>738</v>
      </c>
      <c r="B739" s="72" t="s">
        <v>1759</v>
      </c>
      <c r="C739" s="73">
        <v>1</v>
      </c>
      <c r="D739" s="73" t="s">
        <v>1019</v>
      </c>
    </row>
    <row r="740" spans="1:4" hidden="1" x14ac:dyDescent="0.25">
      <c r="A740" s="73">
        <v>739</v>
      </c>
      <c r="B740" s="71" t="s">
        <v>597</v>
      </c>
      <c r="C740" s="73">
        <v>2</v>
      </c>
      <c r="D740" s="73" t="s">
        <v>1019</v>
      </c>
    </row>
    <row r="741" spans="1:4" hidden="1" x14ac:dyDescent="0.25">
      <c r="A741" s="73">
        <v>740</v>
      </c>
      <c r="B741" s="72" t="s">
        <v>598</v>
      </c>
      <c r="C741" s="73">
        <v>1</v>
      </c>
      <c r="D741" s="73" t="s">
        <v>1019</v>
      </c>
    </row>
    <row r="742" spans="1:4" hidden="1" x14ac:dyDescent="0.25">
      <c r="A742" s="73">
        <v>741</v>
      </c>
      <c r="B742" s="72" t="s">
        <v>1653</v>
      </c>
      <c r="C742" s="73">
        <v>1</v>
      </c>
      <c r="D742" s="73" t="s">
        <v>1019</v>
      </c>
    </row>
    <row r="743" spans="1:4" hidden="1" x14ac:dyDescent="0.25">
      <c r="A743" s="73">
        <v>742</v>
      </c>
      <c r="B743" s="72" t="s">
        <v>186</v>
      </c>
      <c r="C743" s="73">
        <v>2</v>
      </c>
      <c r="D743" s="73" t="s">
        <v>1019</v>
      </c>
    </row>
    <row r="744" spans="1:4" hidden="1" x14ac:dyDescent="0.25">
      <c r="A744" s="73">
        <v>743</v>
      </c>
      <c r="B744" s="72" t="s">
        <v>294</v>
      </c>
      <c r="C744" s="73">
        <v>1</v>
      </c>
      <c r="D744" s="73" t="s">
        <v>1019</v>
      </c>
    </row>
    <row r="745" spans="1:4" hidden="1" x14ac:dyDescent="0.25">
      <c r="A745" s="73">
        <v>744</v>
      </c>
      <c r="B745" s="72" t="s">
        <v>295</v>
      </c>
      <c r="C745" s="73">
        <v>1</v>
      </c>
      <c r="D745" s="73" t="s">
        <v>1019</v>
      </c>
    </row>
    <row r="746" spans="1:4" hidden="1" x14ac:dyDescent="0.25">
      <c r="A746" s="73">
        <v>745</v>
      </c>
      <c r="B746" s="72" t="s">
        <v>324</v>
      </c>
      <c r="C746" s="73">
        <v>24</v>
      </c>
      <c r="D746" s="73" t="s">
        <v>1019</v>
      </c>
    </row>
    <row r="747" spans="1:4" hidden="1" x14ac:dyDescent="0.25">
      <c r="A747" s="73">
        <v>746</v>
      </c>
      <c r="B747" s="72" t="s">
        <v>325</v>
      </c>
      <c r="C747" s="73">
        <v>24</v>
      </c>
      <c r="D747" s="73" t="s">
        <v>1019</v>
      </c>
    </row>
    <row r="748" spans="1:4" hidden="1" x14ac:dyDescent="0.25">
      <c r="A748" s="73">
        <v>747</v>
      </c>
      <c r="B748" s="72" t="s">
        <v>327</v>
      </c>
      <c r="C748" s="73">
        <v>24</v>
      </c>
      <c r="D748" s="73" t="s">
        <v>1019</v>
      </c>
    </row>
    <row r="749" spans="1:4" hidden="1" x14ac:dyDescent="0.25">
      <c r="A749" s="73">
        <v>748</v>
      </c>
      <c r="B749" s="72" t="s">
        <v>296</v>
      </c>
      <c r="C749" s="73">
        <v>1</v>
      </c>
      <c r="D749" s="73" t="s">
        <v>1019</v>
      </c>
    </row>
    <row r="750" spans="1:4" hidden="1" x14ac:dyDescent="0.25">
      <c r="A750" s="73">
        <v>749</v>
      </c>
      <c r="B750" s="72" t="s">
        <v>328</v>
      </c>
      <c r="C750" s="73">
        <v>16</v>
      </c>
      <c r="D750" s="73" t="s">
        <v>1019</v>
      </c>
    </row>
    <row r="751" spans="1:4" hidden="1" x14ac:dyDescent="0.25">
      <c r="A751" s="73">
        <v>750</v>
      </c>
      <c r="B751" s="71" t="s">
        <v>297</v>
      </c>
      <c r="C751" s="73">
        <v>1</v>
      </c>
      <c r="D751" s="73" t="s">
        <v>1019</v>
      </c>
    </row>
    <row r="752" spans="1:4" hidden="1" x14ac:dyDescent="0.25">
      <c r="A752" s="73">
        <v>751</v>
      </c>
      <c r="B752" s="72" t="s">
        <v>298</v>
      </c>
      <c r="C752" s="73">
        <v>1</v>
      </c>
      <c r="D752" s="73" t="s">
        <v>1019</v>
      </c>
    </row>
    <row r="753" spans="1:4" hidden="1" x14ac:dyDescent="0.25">
      <c r="A753" s="73">
        <v>752</v>
      </c>
      <c r="B753" s="72" t="s">
        <v>323</v>
      </c>
      <c r="C753" s="73">
        <v>2</v>
      </c>
      <c r="D753" s="73" t="s">
        <v>1019</v>
      </c>
    </row>
    <row r="754" spans="1:4" hidden="1" x14ac:dyDescent="0.25">
      <c r="A754" s="73">
        <v>753</v>
      </c>
      <c r="B754" s="72" t="s">
        <v>299</v>
      </c>
      <c r="C754" s="73">
        <v>1</v>
      </c>
      <c r="D754" s="73" t="s">
        <v>1019</v>
      </c>
    </row>
    <row r="755" spans="1:4" hidden="1" x14ac:dyDescent="0.25">
      <c r="A755" s="73">
        <v>754</v>
      </c>
      <c r="B755" s="72" t="s">
        <v>310</v>
      </c>
      <c r="C755" s="73">
        <v>1</v>
      </c>
      <c r="D755" s="73" t="s">
        <v>1019</v>
      </c>
    </row>
    <row r="756" spans="1:4" hidden="1" x14ac:dyDescent="0.25">
      <c r="A756" s="73">
        <v>755</v>
      </c>
      <c r="B756" s="72" t="s">
        <v>1654</v>
      </c>
      <c r="C756" s="73">
        <v>2</v>
      </c>
      <c r="D756" s="73" t="s">
        <v>1019</v>
      </c>
    </row>
    <row r="757" spans="1:4" hidden="1" x14ac:dyDescent="0.25">
      <c r="A757" s="73">
        <v>756</v>
      </c>
      <c r="B757" s="72" t="s">
        <v>1655</v>
      </c>
      <c r="C757" s="73">
        <v>4</v>
      </c>
      <c r="D757" s="73" t="s">
        <v>1019</v>
      </c>
    </row>
    <row r="758" spans="1:4" hidden="1" x14ac:dyDescent="0.25">
      <c r="A758" s="73">
        <v>757</v>
      </c>
      <c r="B758" s="72" t="s">
        <v>1656</v>
      </c>
      <c r="C758" s="73">
        <v>4</v>
      </c>
      <c r="D758" s="73" t="s">
        <v>1019</v>
      </c>
    </row>
    <row r="759" spans="1:4" hidden="1" x14ac:dyDescent="0.25">
      <c r="A759" s="73">
        <v>758</v>
      </c>
      <c r="B759" s="72" t="s">
        <v>1657</v>
      </c>
      <c r="C759" s="73">
        <v>4</v>
      </c>
      <c r="D759" s="73" t="s">
        <v>1019</v>
      </c>
    </row>
    <row r="760" spans="1:4" hidden="1" x14ac:dyDescent="0.25">
      <c r="A760" s="73">
        <v>759</v>
      </c>
      <c r="B760" s="72" t="s">
        <v>1658</v>
      </c>
      <c r="C760" s="73">
        <v>4</v>
      </c>
      <c r="D760" s="73" t="s">
        <v>1019</v>
      </c>
    </row>
    <row r="761" spans="1:4" hidden="1" x14ac:dyDescent="0.25">
      <c r="A761" s="73">
        <v>760</v>
      </c>
      <c r="B761" s="72" t="s">
        <v>311</v>
      </c>
      <c r="C761" s="73">
        <v>1</v>
      </c>
      <c r="D761" s="73" t="s">
        <v>1019</v>
      </c>
    </row>
    <row r="762" spans="1:4" hidden="1" x14ac:dyDescent="0.25">
      <c r="A762" s="73">
        <v>761</v>
      </c>
      <c r="B762" s="72" t="s">
        <v>1659</v>
      </c>
      <c r="C762" s="73">
        <v>4</v>
      </c>
      <c r="D762" s="73" t="s">
        <v>1019</v>
      </c>
    </row>
    <row r="763" spans="1:4" hidden="1" x14ac:dyDescent="0.25">
      <c r="A763" s="73">
        <v>762</v>
      </c>
      <c r="B763" s="72" t="s">
        <v>1660</v>
      </c>
      <c r="C763" s="73">
        <v>4</v>
      </c>
      <c r="D763" s="73" t="s">
        <v>1019</v>
      </c>
    </row>
    <row r="764" spans="1:4" hidden="1" x14ac:dyDescent="0.25">
      <c r="A764" s="73">
        <v>763</v>
      </c>
      <c r="B764" s="72" t="s">
        <v>1661</v>
      </c>
      <c r="C764" s="73">
        <v>4</v>
      </c>
      <c r="D764" s="73" t="s">
        <v>1019</v>
      </c>
    </row>
    <row r="765" spans="1:4" hidden="1" x14ac:dyDescent="0.25">
      <c r="A765" s="73">
        <v>764</v>
      </c>
      <c r="B765" s="72" t="s">
        <v>1662</v>
      </c>
      <c r="C765" s="73">
        <v>4</v>
      </c>
      <c r="D765" s="73" t="s">
        <v>1019</v>
      </c>
    </row>
    <row r="766" spans="1:4" hidden="1" x14ac:dyDescent="0.25">
      <c r="A766" s="73">
        <v>765</v>
      </c>
      <c r="B766" s="72" t="s">
        <v>301</v>
      </c>
      <c r="C766" s="73">
        <v>1</v>
      </c>
      <c r="D766" s="73" t="s">
        <v>1019</v>
      </c>
    </row>
    <row r="767" spans="1:4" hidden="1" x14ac:dyDescent="0.25">
      <c r="A767" s="73">
        <v>766</v>
      </c>
      <c r="B767" s="71" t="s">
        <v>1787</v>
      </c>
      <c r="C767" s="73">
        <v>4</v>
      </c>
      <c r="D767" s="73" t="s">
        <v>1019</v>
      </c>
    </row>
    <row r="768" spans="1:4" hidden="1" x14ac:dyDescent="0.25">
      <c r="A768" s="73">
        <v>767</v>
      </c>
      <c r="B768" s="72" t="s">
        <v>300</v>
      </c>
      <c r="C768" s="73">
        <v>1</v>
      </c>
      <c r="D768" s="73" t="s">
        <v>1019</v>
      </c>
    </row>
    <row r="769" spans="1:4" hidden="1" x14ac:dyDescent="0.25">
      <c r="A769" s="73">
        <v>768</v>
      </c>
      <c r="B769" s="72" t="s">
        <v>302</v>
      </c>
      <c r="C769" s="73">
        <v>4</v>
      </c>
      <c r="D769" s="73" t="s">
        <v>1019</v>
      </c>
    </row>
    <row r="770" spans="1:4" hidden="1" x14ac:dyDescent="0.25">
      <c r="A770" s="73">
        <v>769</v>
      </c>
      <c r="B770" s="72" t="s">
        <v>1760</v>
      </c>
      <c r="C770" s="73">
        <v>1</v>
      </c>
      <c r="D770" s="73" t="s">
        <v>1019</v>
      </c>
    </row>
    <row r="771" spans="1:4" hidden="1" x14ac:dyDescent="0.25">
      <c r="A771" s="73">
        <v>770</v>
      </c>
      <c r="B771" s="71" t="s">
        <v>1761</v>
      </c>
      <c r="C771" s="73">
        <v>1</v>
      </c>
      <c r="D771" s="73" t="s">
        <v>1019</v>
      </c>
    </row>
    <row r="772" spans="1:4" hidden="1" x14ac:dyDescent="0.25">
      <c r="A772" s="73">
        <v>771</v>
      </c>
      <c r="B772" s="72" t="s">
        <v>1762</v>
      </c>
      <c r="C772" s="73">
        <v>1</v>
      </c>
      <c r="D772" s="73" t="s">
        <v>1019</v>
      </c>
    </row>
    <row r="773" spans="1:4" ht="30" hidden="1" x14ac:dyDescent="0.25">
      <c r="A773" s="73">
        <v>772</v>
      </c>
      <c r="B773" s="71" t="s">
        <v>1956</v>
      </c>
      <c r="C773" s="73">
        <v>2</v>
      </c>
      <c r="D773" s="73" t="s">
        <v>1019</v>
      </c>
    </row>
    <row r="774" spans="1:4" hidden="1" x14ac:dyDescent="0.25">
      <c r="A774" s="73">
        <v>773</v>
      </c>
      <c r="B774" s="71" t="s">
        <v>1663</v>
      </c>
      <c r="C774" s="73">
        <v>1</v>
      </c>
      <c r="D774" s="73" t="s">
        <v>1019</v>
      </c>
    </row>
    <row r="775" spans="1:4" hidden="1" x14ac:dyDescent="0.25">
      <c r="A775" s="73">
        <v>774</v>
      </c>
      <c r="B775" s="72" t="s">
        <v>1664</v>
      </c>
      <c r="C775" s="73">
        <v>0.1</v>
      </c>
      <c r="D775" s="73" t="s">
        <v>1124</v>
      </c>
    </row>
    <row r="776" spans="1:4" hidden="1" x14ac:dyDescent="0.25">
      <c r="A776" s="73">
        <v>775</v>
      </c>
      <c r="B776" s="71" t="s">
        <v>1665</v>
      </c>
      <c r="C776" s="73">
        <v>1</v>
      </c>
      <c r="D776" s="73" t="s">
        <v>1019</v>
      </c>
    </row>
    <row r="777" spans="1:4" hidden="1" x14ac:dyDescent="0.25">
      <c r="A777" s="73">
        <v>776</v>
      </c>
      <c r="B777" s="72" t="s">
        <v>1666</v>
      </c>
      <c r="C777" s="73">
        <v>1</v>
      </c>
      <c r="D777" s="73" t="s">
        <v>1019</v>
      </c>
    </row>
    <row r="778" spans="1:4" hidden="1" x14ac:dyDescent="0.25">
      <c r="A778" s="73">
        <v>777</v>
      </c>
      <c r="B778" s="72" t="s">
        <v>1667</v>
      </c>
      <c r="C778" s="73">
        <v>1</v>
      </c>
      <c r="D778" s="73" t="s">
        <v>1019</v>
      </c>
    </row>
    <row r="779" spans="1:4" ht="30" hidden="1" x14ac:dyDescent="0.25">
      <c r="A779" s="73">
        <v>778</v>
      </c>
      <c r="B779" s="71" t="s">
        <v>1668</v>
      </c>
      <c r="C779" s="73">
        <v>1</v>
      </c>
      <c r="D779" s="73" t="s">
        <v>1019</v>
      </c>
    </row>
    <row r="780" spans="1:4" hidden="1" x14ac:dyDescent="0.25">
      <c r="A780" s="73">
        <v>779</v>
      </c>
      <c r="B780" s="72" t="s">
        <v>2093</v>
      </c>
      <c r="C780" s="73">
        <v>1</v>
      </c>
      <c r="D780" s="73" t="s">
        <v>1019</v>
      </c>
    </row>
    <row r="781" spans="1:4" hidden="1" x14ac:dyDescent="0.25">
      <c r="A781" s="73">
        <v>780</v>
      </c>
      <c r="B781" s="72" t="s">
        <v>2084</v>
      </c>
      <c r="C781" s="73">
        <v>0</v>
      </c>
    </row>
    <row r="782" spans="1:4" hidden="1" x14ac:dyDescent="0.25">
      <c r="A782" s="73">
        <v>781</v>
      </c>
      <c r="B782" s="72" t="s">
        <v>2094</v>
      </c>
      <c r="C782" s="73">
        <v>1</v>
      </c>
      <c r="D782" s="73" t="s">
        <v>1019</v>
      </c>
    </row>
    <row r="783" spans="1:4" hidden="1" x14ac:dyDescent="0.25">
      <c r="A783" s="73">
        <v>782</v>
      </c>
      <c r="B783" s="72" t="s">
        <v>1669</v>
      </c>
      <c r="C783" s="73">
        <v>1</v>
      </c>
      <c r="D783" s="73" t="s">
        <v>1019</v>
      </c>
    </row>
    <row r="784" spans="1:4" hidden="1" x14ac:dyDescent="0.25">
      <c r="A784" s="73">
        <v>783</v>
      </c>
      <c r="B784" s="72" t="s">
        <v>1670</v>
      </c>
      <c r="C784" s="73">
        <v>1</v>
      </c>
      <c r="D784" s="73" t="s">
        <v>1019</v>
      </c>
    </row>
    <row r="785" spans="1:4" hidden="1" x14ac:dyDescent="0.25">
      <c r="A785" s="73">
        <v>784</v>
      </c>
      <c r="B785" s="72" t="s">
        <v>2095</v>
      </c>
      <c r="C785" s="73">
        <v>1</v>
      </c>
      <c r="D785" s="73" t="s">
        <v>1019</v>
      </c>
    </row>
    <row r="786" spans="1:4" hidden="1" x14ac:dyDescent="0.25">
      <c r="A786" s="73">
        <v>785</v>
      </c>
      <c r="B786" s="72" t="s">
        <v>1671</v>
      </c>
      <c r="C786" s="73">
        <v>1</v>
      </c>
      <c r="D786" s="73" t="s">
        <v>1019</v>
      </c>
    </row>
    <row r="787" spans="1:4" hidden="1" x14ac:dyDescent="0.25">
      <c r="A787" s="73">
        <v>786</v>
      </c>
      <c r="B787" s="72" t="s">
        <v>1763</v>
      </c>
      <c r="C787" s="73">
        <v>1</v>
      </c>
      <c r="D787" s="73" t="s">
        <v>1019</v>
      </c>
    </row>
    <row r="788" spans="1:4" hidden="1" x14ac:dyDescent="0.25">
      <c r="A788" s="73">
        <v>787</v>
      </c>
      <c r="B788" s="72" t="s">
        <v>1672</v>
      </c>
      <c r="C788" s="73">
        <v>1</v>
      </c>
      <c r="D788" s="73" t="s">
        <v>1019</v>
      </c>
    </row>
    <row r="789" spans="1:4" hidden="1" x14ac:dyDescent="0.25">
      <c r="A789" s="73">
        <v>788</v>
      </c>
      <c r="B789" s="72" t="s">
        <v>1957</v>
      </c>
      <c r="C789" s="73">
        <v>1</v>
      </c>
      <c r="D789" s="73" t="s">
        <v>1019</v>
      </c>
    </row>
    <row r="790" spans="1:4" hidden="1" x14ac:dyDescent="0.25">
      <c r="A790" s="73">
        <v>789</v>
      </c>
      <c r="B790" s="72" t="s">
        <v>1958</v>
      </c>
      <c r="C790" s="73">
        <v>1</v>
      </c>
      <c r="D790" s="73" t="s">
        <v>1019</v>
      </c>
    </row>
    <row r="791" spans="1:4" hidden="1" x14ac:dyDescent="0.25">
      <c r="A791" s="73">
        <v>790</v>
      </c>
      <c r="B791" s="72" t="s">
        <v>1673</v>
      </c>
      <c r="C791" s="73">
        <v>1</v>
      </c>
      <c r="D791" s="73" t="s">
        <v>1019</v>
      </c>
    </row>
    <row r="792" spans="1:4" hidden="1" x14ac:dyDescent="0.25">
      <c r="A792" s="73">
        <v>791</v>
      </c>
      <c r="B792" s="72" t="s">
        <v>1959</v>
      </c>
      <c r="C792" s="73">
        <v>1</v>
      </c>
      <c r="D792" s="73" t="s">
        <v>1019</v>
      </c>
    </row>
    <row r="793" spans="1:4" hidden="1" x14ac:dyDescent="0.25">
      <c r="A793" s="73">
        <v>792</v>
      </c>
      <c r="B793" s="72" t="s">
        <v>1674</v>
      </c>
      <c r="C793" s="73">
        <v>1</v>
      </c>
      <c r="D793" s="73" t="s">
        <v>1019</v>
      </c>
    </row>
    <row r="794" spans="1:4" hidden="1" x14ac:dyDescent="0.25">
      <c r="A794" s="73">
        <v>793</v>
      </c>
      <c r="B794" s="72" t="s">
        <v>1675</v>
      </c>
      <c r="C794" s="73">
        <v>1</v>
      </c>
      <c r="D794" s="73" t="s">
        <v>1019</v>
      </c>
    </row>
    <row r="795" spans="1:4" hidden="1" x14ac:dyDescent="0.25">
      <c r="A795" s="73">
        <v>794</v>
      </c>
      <c r="B795" s="72" t="s">
        <v>1676</v>
      </c>
      <c r="C795" s="73">
        <v>2</v>
      </c>
      <c r="D795" s="73" t="s">
        <v>1019</v>
      </c>
    </row>
    <row r="796" spans="1:4" hidden="1" x14ac:dyDescent="0.25">
      <c r="A796" s="73">
        <v>795</v>
      </c>
      <c r="B796" s="72" t="s">
        <v>1677</v>
      </c>
      <c r="C796" s="73">
        <v>1</v>
      </c>
      <c r="D796" s="73" t="s">
        <v>1019</v>
      </c>
    </row>
    <row r="797" spans="1:4" hidden="1" x14ac:dyDescent="0.25">
      <c r="A797" s="73">
        <v>796</v>
      </c>
      <c r="B797" s="72" t="s">
        <v>1678</v>
      </c>
      <c r="C797" s="73">
        <v>2</v>
      </c>
      <c r="D797" s="73" t="s">
        <v>1019</v>
      </c>
    </row>
    <row r="798" spans="1:4" hidden="1" x14ac:dyDescent="0.25">
      <c r="A798" s="73">
        <v>797</v>
      </c>
      <c r="B798" s="72" t="s">
        <v>1679</v>
      </c>
      <c r="C798" s="73">
        <v>1</v>
      </c>
      <c r="D798" s="73" t="s">
        <v>1019</v>
      </c>
    </row>
    <row r="799" spans="1:4" hidden="1" x14ac:dyDescent="0.25">
      <c r="A799" s="73">
        <v>798</v>
      </c>
      <c r="B799" s="72" t="s">
        <v>1878</v>
      </c>
      <c r="C799" s="73">
        <v>1</v>
      </c>
      <c r="D799" s="73" t="s">
        <v>1019</v>
      </c>
    </row>
    <row r="800" spans="1:4" hidden="1" x14ac:dyDescent="0.25">
      <c r="A800" s="73">
        <v>799</v>
      </c>
      <c r="B800" s="72" t="s">
        <v>1890</v>
      </c>
      <c r="C800" s="73">
        <v>1</v>
      </c>
      <c r="D800" s="73" t="s">
        <v>1019</v>
      </c>
    </row>
    <row r="801" spans="1:4" hidden="1" x14ac:dyDescent="0.25">
      <c r="A801" s="73">
        <v>800</v>
      </c>
      <c r="B801" s="72" t="s">
        <v>226</v>
      </c>
      <c r="C801" s="73">
        <v>4</v>
      </c>
      <c r="D801" s="73" t="s">
        <v>1019</v>
      </c>
    </row>
    <row r="802" spans="1:4" hidden="1" x14ac:dyDescent="0.25">
      <c r="A802" s="73">
        <v>801</v>
      </c>
      <c r="B802" s="72" t="s">
        <v>1722</v>
      </c>
      <c r="C802" s="73">
        <v>1</v>
      </c>
      <c r="D802" s="73" t="s">
        <v>1019</v>
      </c>
    </row>
    <row r="803" spans="1:4" hidden="1" x14ac:dyDescent="0.25">
      <c r="A803" s="73">
        <v>802</v>
      </c>
      <c r="B803" s="72" t="s">
        <v>1721</v>
      </c>
      <c r="C803" s="73">
        <v>1</v>
      </c>
      <c r="D803" s="73" t="s">
        <v>1019</v>
      </c>
    </row>
    <row r="804" spans="1:4" x14ac:dyDescent="0.25">
      <c r="A804" s="73">
        <v>332</v>
      </c>
      <c r="B804" s="72" t="s">
        <v>1061</v>
      </c>
      <c r="C804" s="73">
        <v>6.089999999999999</v>
      </c>
      <c r="D804" s="73" t="s">
        <v>1018</v>
      </c>
    </row>
    <row r="805" spans="1:4" hidden="1" x14ac:dyDescent="0.25">
      <c r="A805" s="73">
        <v>804</v>
      </c>
      <c r="B805" s="72" t="s">
        <v>1680</v>
      </c>
      <c r="C805" s="73">
        <v>1</v>
      </c>
      <c r="D805" s="73" t="s">
        <v>1019</v>
      </c>
    </row>
    <row r="806" spans="1:4" hidden="1" x14ac:dyDescent="0.25">
      <c r="A806" s="73">
        <v>805</v>
      </c>
      <c r="B806" s="72" t="s">
        <v>1681</v>
      </c>
      <c r="C806" s="73">
        <v>2E-3</v>
      </c>
      <c r="D806" s="73" t="s">
        <v>1124</v>
      </c>
    </row>
    <row r="807" spans="1:4" hidden="1" x14ac:dyDescent="0.25">
      <c r="A807" s="73">
        <v>806</v>
      </c>
      <c r="B807" s="72" t="s">
        <v>1803</v>
      </c>
      <c r="C807" s="73">
        <v>5</v>
      </c>
      <c r="D807" s="73" t="s">
        <v>1019</v>
      </c>
    </row>
    <row r="808" spans="1:4" hidden="1" x14ac:dyDescent="0.25">
      <c r="A808" s="73">
        <v>807</v>
      </c>
      <c r="B808" s="72" t="s">
        <v>1804</v>
      </c>
      <c r="C808" s="73">
        <v>1</v>
      </c>
      <c r="D808" s="73" t="s">
        <v>1019</v>
      </c>
    </row>
    <row r="809" spans="1:4" hidden="1" x14ac:dyDescent="0.25">
      <c r="A809" s="73">
        <v>808</v>
      </c>
      <c r="B809" s="72" t="s">
        <v>1805</v>
      </c>
      <c r="C809" s="73">
        <v>2</v>
      </c>
      <c r="D809" s="73" t="s">
        <v>1019</v>
      </c>
    </row>
    <row r="810" spans="1:4" hidden="1" x14ac:dyDescent="0.25">
      <c r="A810" s="73">
        <v>809</v>
      </c>
      <c r="B810" s="71" t="s">
        <v>1806</v>
      </c>
      <c r="C810" s="73">
        <v>12</v>
      </c>
      <c r="D810" s="73" t="s">
        <v>1019</v>
      </c>
    </row>
    <row r="811" spans="1:4" hidden="1" x14ac:dyDescent="0.25">
      <c r="A811" s="73">
        <v>810</v>
      </c>
      <c r="B811" s="72" t="s">
        <v>1792</v>
      </c>
      <c r="C811" s="73">
        <v>12</v>
      </c>
      <c r="D811" s="73" t="s">
        <v>1019</v>
      </c>
    </row>
    <row r="812" spans="1:4" hidden="1" x14ac:dyDescent="0.25">
      <c r="A812" s="73">
        <v>811</v>
      </c>
      <c r="B812" s="71" t="s">
        <v>1807</v>
      </c>
      <c r="C812" s="73">
        <v>4</v>
      </c>
      <c r="D812" s="73" t="s">
        <v>1019</v>
      </c>
    </row>
    <row r="813" spans="1:4" hidden="1" x14ac:dyDescent="0.25">
      <c r="A813" s="73">
        <v>812</v>
      </c>
      <c r="B813" s="72" t="s">
        <v>1682</v>
      </c>
      <c r="C813" s="73">
        <v>4</v>
      </c>
      <c r="D813" s="73" t="s">
        <v>1019</v>
      </c>
    </row>
    <row r="814" spans="1:4" hidden="1" x14ac:dyDescent="0.25">
      <c r="A814" s="73">
        <v>813</v>
      </c>
      <c r="B814" s="72" t="s">
        <v>1683</v>
      </c>
      <c r="C814" s="73">
        <v>4</v>
      </c>
      <c r="D814" s="73" t="s">
        <v>1019</v>
      </c>
    </row>
    <row r="815" spans="1:4" hidden="1" x14ac:dyDescent="0.25">
      <c r="A815" s="73">
        <v>814</v>
      </c>
      <c r="B815" s="72" t="s">
        <v>1684</v>
      </c>
      <c r="C815" s="73">
        <v>1</v>
      </c>
      <c r="D815" s="73" t="s">
        <v>1019</v>
      </c>
    </row>
    <row r="816" spans="1:4" hidden="1" x14ac:dyDescent="0.25">
      <c r="A816" s="73">
        <v>815</v>
      </c>
      <c r="B816" s="72" t="s">
        <v>1685</v>
      </c>
      <c r="C816" s="73">
        <v>1</v>
      </c>
      <c r="D816" s="73" t="s">
        <v>1019</v>
      </c>
    </row>
    <row r="817" spans="1:4" hidden="1" x14ac:dyDescent="0.25">
      <c r="A817" s="73">
        <v>816</v>
      </c>
      <c r="B817" s="72" t="s">
        <v>1686</v>
      </c>
      <c r="C817" s="73">
        <v>1</v>
      </c>
      <c r="D817" s="73" t="s">
        <v>1019</v>
      </c>
    </row>
    <row r="818" spans="1:4" hidden="1" x14ac:dyDescent="0.25">
      <c r="A818" s="73">
        <v>817</v>
      </c>
      <c r="B818" s="72" t="s">
        <v>1687</v>
      </c>
      <c r="C818" s="73">
        <v>1</v>
      </c>
      <c r="D818" s="73" t="s">
        <v>1019</v>
      </c>
    </row>
    <row r="819" spans="1:4" hidden="1" x14ac:dyDescent="0.25">
      <c r="A819" s="73">
        <v>818</v>
      </c>
      <c r="B819" s="72" t="s">
        <v>1688</v>
      </c>
      <c r="C819" s="73">
        <v>2</v>
      </c>
      <c r="D819" s="73" t="s">
        <v>1019</v>
      </c>
    </row>
    <row r="820" spans="1:4" hidden="1" x14ac:dyDescent="0.25">
      <c r="A820" s="73">
        <v>819</v>
      </c>
      <c r="B820" s="72" t="s">
        <v>1689</v>
      </c>
      <c r="C820" s="73">
        <v>3</v>
      </c>
      <c r="D820" s="73" t="s">
        <v>1019</v>
      </c>
    </row>
    <row r="821" spans="1:4" hidden="1" x14ac:dyDescent="0.25">
      <c r="A821" s="73">
        <v>820</v>
      </c>
      <c r="B821" s="72" t="s">
        <v>1690</v>
      </c>
      <c r="C821" s="73">
        <v>5</v>
      </c>
      <c r="D821" s="73" t="s">
        <v>1019</v>
      </c>
    </row>
    <row r="822" spans="1:4" hidden="1" x14ac:dyDescent="0.25">
      <c r="A822" s="73">
        <v>821</v>
      </c>
      <c r="B822" s="72" t="s">
        <v>1691</v>
      </c>
      <c r="C822" s="73">
        <v>1</v>
      </c>
      <c r="D822" s="73" t="s">
        <v>1019</v>
      </c>
    </row>
    <row r="823" spans="1:4" hidden="1" x14ac:dyDescent="0.25">
      <c r="A823" s="73">
        <v>822</v>
      </c>
      <c r="B823" s="72" t="s">
        <v>1692</v>
      </c>
      <c r="C823" s="73">
        <v>1</v>
      </c>
      <c r="D823" s="73" t="s">
        <v>1019</v>
      </c>
    </row>
    <row r="824" spans="1:4" hidden="1" x14ac:dyDescent="0.25">
      <c r="A824" s="73">
        <v>823</v>
      </c>
      <c r="B824" s="72" t="s">
        <v>1693</v>
      </c>
      <c r="C824" s="73">
        <v>3</v>
      </c>
      <c r="D824" s="73" t="s">
        <v>1019</v>
      </c>
    </row>
    <row r="825" spans="1:4" hidden="1" x14ac:dyDescent="0.25">
      <c r="A825" s="73">
        <v>824</v>
      </c>
      <c r="B825" s="72" t="s">
        <v>1694</v>
      </c>
      <c r="C825" s="73">
        <v>1</v>
      </c>
      <c r="D825" s="73" t="s">
        <v>1019</v>
      </c>
    </row>
    <row r="826" spans="1:4" hidden="1" x14ac:dyDescent="0.25">
      <c r="A826" s="73">
        <v>825</v>
      </c>
      <c r="B826" s="72" t="s">
        <v>1695</v>
      </c>
      <c r="C826" s="73">
        <v>2</v>
      </c>
      <c r="D826" s="73" t="s">
        <v>1019</v>
      </c>
    </row>
    <row r="827" spans="1:4" hidden="1" x14ac:dyDescent="0.25">
      <c r="A827" s="73">
        <v>826</v>
      </c>
      <c r="B827" s="72" t="s">
        <v>1696</v>
      </c>
      <c r="C827" s="73">
        <v>1</v>
      </c>
      <c r="D827" s="73" t="s">
        <v>1019</v>
      </c>
    </row>
    <row r="828" spans="1:4" hidden="1" x14ac:dyDescent="0.25">
      <c r="A828" s="73">
        <v>827</v>
      </c>
      <c r="B828" s="72" t="s">
        <v>1697</v>
      </c>
      <c r="C828" s="73">
        <v>1</v>
      </c>
      <c r="D828" s="73" t="s">
        <v>1019</v>
      </c>
    </row>
    <row r="829" spans="1:4" hidden="1" x14ac:dyDescent="0.25">
      <c r="A829" s="73">
        <v>828</v>
      </c>
      <c r="B829" s="72" t="s">
        <v>1698</v>
      </c>
      <c r="C829" s="73">
        <v>1</v>
      </c>
      <c r="D829" s="73" t="s">
        <v>1019</v>
      </c>
    </row>
    <row r="830" spans="1:4" hidden="1" x14ac:dyDescent="0.25">
      <c r="A830" s="73">
        <v>829</v>
      </c>
      <c r="B830" s="72" t="s">
        <v>1699</v>
      </c>
      <c r="C830" s="73">
        <v>1</v>
      </c>
      <c r="D830" s="73" t="s">
        <v>1019</v>
      </c>
    </row>
    <row r="831" spans="1:4" hidden="1" x14ac:dyDescent="0.25">
      <c r="A831" s="73">
        <v>830</v>
      </c>
      <c r="B831" s="72" t="s">
        <v>1700</v>
      </c>
      <c r="C831" s="73">
        <v>1</v>
      </c>
      <c r="D831" s="73" t="s">
        <v>1019</v>
      </c>
    </row>
    <row r="832" spans="1:4" hidden="1" x14ac:dyDescent="0.25">
      <c r="A832" s="73">
        <v>831</v>
      </c>
      <c r="B832" s="72" t="s">
        <v>1701</v>
      </c>
      <c r="C832" s="73">
        <v>1</v>
      </c>
      <c r="D832" s="73" t="s">
        <v>1019</v>
      </c>
    </row>
    <row r="833" spans="1:4" hidden="1" x14ac:dyDescent="0.25">
      <c r="A833" s="73">
        <v>832</v>
      </c>
      <c r="B833" s="72" t="s">
        <v>1702</v>
      </c>
      <c r="C833" s="73">
        <v>1</v>
      </c>
      <c r="D833" s="73" t="s">
        <v>1019</v>
      </c>
    </row>
    <row r="834" spans="1:4" hidden="1" x14ac:dyDescent="0.25">
      <c r="A834" s="73">
        <v>833</v>
      </c>
      <c r="B834" s="72" t="s">
        <v>1703</v>
      </c>
      <c r="C834" s="73">
        <v>1</v>
      </c>
      <c r="D834" s="73" t="s">
        <v>1019</v>
      </c>
    </row>
    <row r="835" spans="1:4" hidden="1" x14ac:dyDescent="0.25">
      <c r="A835" s="73">
        <v>834</v>
      </c>
      <c r="B835" s="72" t="s">
        <v>1704</v>
      </c>
      <c r="C835" s="73">
        <v>1</v>
      </c>
      <c r="D835" s="73" t="s">
        <v>1019</v>
      </c>
    </row>
    <row r="836" spans="1:4" hidden="1" x14ac:dyDescent="0.25">
      <c r="A836" s="73">
        <v>835</v>
      </c>
      <c r="B836" s="72" t="s">
        <v>1705</v>
      </c>
      <c r="C836" s="73">
        <v>1</v>
      </c>
      <c r="D836" s="73" t="s">
        <v>1019</v>
      </c>
    </row>
    <row r="837" spans="1:4" hidden="1" x14ac:dyDescent="0.25">
      <c r="A837" s="73">
        <v>836</v>
      </c>
      <c r="B837" s="72" t="s">
        <v>1706</v>
      </c>
      <c r="C837" s="73">
        <v>1</v>
      </c>
      <c r="D837" s="73" t="s">
        <v>1019</v>
      </c>
    </row>
    <row r="838" spans="1:4" hidden="1" x14ac:dyDescent="0.25">
      <c r="A838" s="73">
        <v>837</v>
      </c>
      <c r="B838" s="72" t="s">
        <v>1707</v>
      </c>
      <c r="C838" s="73">
        <v>6</v>
      </c>
      <c r="D838" s="73" t="s">
        <v>1019</v>
      </c>
    </row>
    <row r="839" spans="1:4" hidden="1" x14ac:dyDescent="0.25">
      <c r="A839" s="73">
        <v>838</v>
      </c>
      <c r="B839" s="71" t="s">
        <v>1708</v>
      </c>
      <c r="C839" s="73">
        <v>1</v>
      </c>
      <c r="D839" s="73" t="s">
        <v>1019</v>
      </c>
    </row>
    <row r="840" spans="1:4" hidden="1" x14ac:dyDescent="0.25">
      <c r="A840" s="73">
        <v>839</v>
      </c>
      <c r="B840" s="72" t="s">
        <v>1709</v>
      </c>
      <c r="C840" s="73">
        <v>7</v>
      </c>
      <c r="D840" s="73" t="s">
        <v>1019</v>
      </c>
    </row>
    <row r="841" spans="1:4" hidden="1" x14ac:dyDescent="0.25">
      <c r="A841" s="73">
        <v>840</v>
      </c>
      <c r="B841" s="71" t="s">
        <v>1710</v>
      </c>
      <c r="C841" s="73">
        <v>1</v>
      </c>
      <c r="D841" s="73" t="s">
        <v>1019</v>
      </c>
    </row>
    <row r="842" spans="1:4" hidden="1" x14ac:dyDescent="0.25">
      <c r="A842" s="73">
        <v>841</v>
      </c>
      <c r="B842" s="72" t="s">
        <v>1711</v>
      </c>
      <c r="C842" s="73">
        <v>3</v>
      </c>
      <c r="D842" s="73" t="s">
        <v>1019</v>
      </c>
    </row>
    <row r="843" spans="1:4" hidden="1" x14ac:dyDescent="0.25">
      <c r="A843" s="73">
        <v>842</v>
      </c>
      <c r="B843" s="72" t="s">
        <v>1712</v>
      </c>
      <c r="C843" s="73">
        <v>1</v>
      </c>
      <c r="D843" s="73" t="s">
        <v>1019</v>
      </c>
    </row>
    <row r="844" spans="1:4" hidden="1" x14ac:dyDescent="0.25">
      <c r="A844" s="73">
        <v>843</v>
      </c>
      <c r="B844" s="71" t="s">
        <v>1713</v>
      </c>
      <c r="C844" s="73">
        <v>1</v>
      </c>
      <c r="D844" s="73" t="s">
        <v>1019</v>
      </c>
    </row>
    <row r="845" spans="1:4" hidden="1" x14ac:dyDescent="0.25">
      <c r="A845" s="73">
        <v>844</v>
      </c>
      <c r="B845" s="72" t="s">
        <v>1714</v>
      </c>
      <c r="C845" s="73">
        <v>2</v>
      </c>
      <c r="D845" s="73" t="s">
        <v>1019</v>
      </c>
    </row>
    <row r="846" spans="1:4" hidden="1" x14ac:dyDescent="0.25">
      <c r="A846" s="73">
        <v>845</v>
      </c>
      <c r="B846" s="72" t="s">
        <v>1715</v>
      </c>
      <c r="C846" s="73">
        <v>2</v>
      </c>
      <c r="D846" s="73" t="s">
        <v>1019</v>
      </c>
    </row>
    <row r="847" spans="1:4" hidden="1" x14ac:dyDescent="0.25">
      <c r="A847" s="73">
        <v>846</v>
      </c>
      <c r="B847" s="72" t="s">
        <v>1716</v>
      </c>
      <c r="C847" s="73">
        <v>1</v>
      </c>
      <c r="D847" s="73" t="s">
        <v>1019</v>
      </c>
    </row>
    <row r="848" spans="1:4" hidden="1" x14ac:dyDescent="0.25">
      <c r="A848" s="73">
        <v>847</v>
      </c>
      <c r="B848" s="72" t="s">
        <v>1717</v>
      </c>
      <c r="C848" s="73">
        <v>1</v>
      </c>
      <c r="D848" s="73" t="s">
        <v>1019</v>
      </c>
    </row>
    <row r="849" spans="1:4" hidden="1" x14ac:dyDescent="0.25">
      <c r="A849" s="73">
        <v>848</v>
      </c>
      <c r="B849" s="72" t="s">
        <v>1718</v>
      </c>
      <c r="C849" s="73">
        <v>1</v>
      </c>
      <c r="D849" s="73" t="s">
        <v>1019</v>
      </c>
    </row>
    <row r="850" spans="1:4" hidden="1" x14ac:dyDescent="0.25">
      <c r="A850" s="73">
        <v>849</v>
      </c>
      <c r="B850" s="72" t="s">
        <v>1719</v>
      </c>
      <c r="C850" s="73">
        <v>1</v>
      </c>
      <c r="D850" s="73" t="s">
        <v>1019</v>
      </c>
    </row>
    <row r="851" spans="1:4" hidden="1" x14ac:dyDescent="0.25">
      <c r="A851" s="73">
        <v>850</v>
      </c>
      <c r="B851" s="72" t="s">
        <v>1720</v>
      </c>
      <c r="C851" s="73">
        <v>2</v>
      </c>
      <c r="D851" s="73" t="s">
        <v>1019</v>
      </c>
    </row>
    <row r="852" spans="1:4" hidden="1" x14ac:dyDescent="0.25">
      <c r="A852" s="73">
        <v>851</v>
      </c>
      <c r="B852" s="72" t="s">
        <v>1853</v>
      </c>
      <c r="C852" s="73">
        <v>1</v>
      </c>
      <c r="D852" s="73" t="s">
        <v>1019</v>
      </c>
    </row>
    <row r="853" spans="1:4" hidden="1" x14ac:dyDescent="0.25">
      <c r="A853" s="73">
        <v>852</v>
      </c>
      <c r="B853" s="71" t="s">
        <v>1855</v>
      </c>
      <c r="C853" s="73">
        <v>1</v>
      </c>
      <c r="D853" s="73" t="s">
        <v>1019</v>
      </c>
    </row>
    <row r="854" spans="1:4" hidden="1" x14ac:dyDescent="0.25">
      <c r="A854" s="73">
        <v>853</v>
      </c>
      <c r="B854" s="72" t="s">
        <v>1723</v>
      </c>
      <c r="C854" s="73">
        <v>1</v>
      </c>
      <c r="D854" s="73" t="s">
        <v>1019</v>
      </c>
    </row>
    <row r="855" spans="1:4" hidden="1" x14ac:dyDescent="0.25">
      <c r="A855" s="73">
        <v>854</v>
      </c>
      <c r="B855" s="71" t="s">
        <v>1724</v>
      </c>
      <c r="C855" s="73">
        <v>1</v>
      </c>
      <c r="D855" s="73" t="s">
        <v>1019</v>
      </c>
    </row>
    <row r="856" spans="1:4" hidden="1" x14ac:dyDescent="0.25">
      <c r="A856" s="73">
        <v>855</v>
      </c>
      <c r="B856" s="72" t="s">
        <v>1725</v>
      </c>
      <c r="C856" s="73">
        <v>1</v>
      </c>
      <c r="D856" s="73" t="s">
        <v>1019</v>
      </c>
    </row>
    <row r="857" spans="1:4" hidden="1" x14ac:dyDescent="0.25">
      <c r="A857" s="73">
        <v>856</v>
      </c>
      <c r="B857" s="72" t="s">
        <v>1726</v>
      </c>
      <c r="C857" s="73">
        <v>1</v>
      </c>
      <c r="D857" s="73" t="s">
        <v>1019</v>
      </c>
    </row>
    <row r="858" spans="1:4" hidden="1" x14ac:dyDescent="0.25">
      <c r="A858" s="73">
        <v>857</v>
      </c>
      <c r="B858" s="72" t="s">
        <v>1727</v>
      </c>
      <c r="C858" s="73">
        <v>1</v>
      </c>
      <c r="D858" s="73" t="s">
        <v>1019</v>
      </c>
    </row>
    <row r="859" spans="1:4" hidden="1" x14ac:dyDescent="0.25">
      <c r="A859" s="73">
        <v>858</v>
      </c>
      <c r="B859" s="72" t="s">
        <v>1728</v>
      </c>
      <c r="C859" s="73">
        <v>1</v>
      </c>
      <c r="D859" s="73" t="s">
        <v>1019</v>
      </c>
    </row>
    <row r="860" spans="1:4" hidden="1" x14ac:dyDescent="0.25">
      <c r="A860" s="73">
        <v>859</v>
      </c>
      <c r="B860" s="72" t="s">
        <v>1729</v>
      </c>
      <c r="C860" s="73">
        <v>1</v>
      </c>
      <c r="D860" s="73" t="s">
        <v>1019</v>
      </c>
    </row>
    <row r="861" spans="1:4" hidden="1" x14ac:dyDescent="0.25">
      <c r="A861" s="73">
        <v>860</v>
      </c>
      <c r="B861" s="72" t="s">
        <v>1730</v>
      </c>
      <c r="C861" s="73">
        <v>2</v>
      </c>
      <c r="D861" s="73" t="s">
        <v>1019</v>
      </c>
    </row>
    <row r="862" spans="1:4" hidden="1" x14ac:dyDescent="0.25">
      <c r="A862" s="73">
        <v>861</v>
      </c>
      <c r="B862" s="72" t="s">
        <v>1731</v>
      </c>
      <c r="C862" s="73">
        <v>1</v>
      </c>
      <c r="D862" s="73" t="s">
        <v>1019</v>
      </c>
    </row>
    <row r="863" spans="1:4" hidden="1" x14ac:dyDescent="0.25">
      <c r="A863" s="73">
        <v>862</v>
      </c>
      <c r="B863" s="72" t="s">
        <v>1732</v>
      </c>
      <c r="C863" s="73">
        <v>1</v>
      </c>
      <c r="D863" s="73" t="s">
        <v>1019</v>
      </c>
    </row>
    <row r="864" spans="1:4" hidden="1" x14ac:dyDescent="0.25">
      <c r="A864" s="73">
        <v>863</v>
      </c>
      <c r="B864" s="71" t="s">
        <v>1755</v>
      </c>
      <c r="C864" s="73">
        <v>0.12</v>
      </c>
      <c r="D864" s="73" t="s">
        <v>1019</v>
      </c>
    </row>
    <row r="865" spans="1:4" hidden="1" x14ac:dyDescent="0.25">
      <c r="A865" s="73">
        <v>864</v>
      </c>
      <c r="B865" s="72" t="s">
        <v>1733</v>
      </c>
      <c r="C865" s="73">
        <v>2</v>
      </c>
      <c r="D865" s="73" t="s">
        <v>1019</v>
      </c>
    </row>
    <row r="866" spans="1:4" hidden="1" x14ac:dyDescent="0.25">
      <c r="A866" s="73">
        <v>865</v>
      </c>
      <c r="B866" s="72" t="s">
        <v>1816</v>
      </c>
      <c r="C866" s="73">
        <v>4</v>
      </c>
      <c r="D866" s="73" t="s">
        <v>1019</v>
      </c>
    </row>
    <row r="867" spans="1:4" hidden="1" x14ac:dyDescent="0.25">
      <c r="A867" s="73">
        <v>866</v>
      </c>
      <c r="B867" s="72" t="s">
        <v>1814</v>
      </c>
      <c r="C867" s="73">
        <v>4</v>
      </c>
      <c r="D867" s="73" t="s">
        <v>1019</v>
      </c>
    </row>
    <row r="868" spans="1:4" hidden="1" x14ac:dyDescent="0.25">
      <c r="A868" s="73">
        <v>867</v>
      </c>
      <c r="B868" s="72" t="s">
        <v>1815</v>
      </c>
      <c r="C868" s="73">
        <v>12</v>
      </c>
      <c r="D868" s="73" t="s">
        <v>1019</v>
      </c>
    </row>
    <row r="869" spans="1:4" hidden="1" x14ac:dyDescent="0.25">
      <c r="A869" s="73">
        <v>868</v>
      </c>
      <c r="B869" s="71" t="s">
        <v>1813</v>
      </c>
      <c r="C869" s="73">
        <v>4</v>
      </c>
      <c r="D869" s="73" t="s">
        <v>1019</v>
      </c>
    </row>
    <row r="870" spans="1:4" hidden="1" x14ac:dyDescent="0.25">
      <c r="A870" s="73">
        <v>869</v>
      </c>
      <c r="B870" s="72" t="s">
        <v>1812</v>
      </c>
      <c r="C870" s="73">
        <v>4</v>
      </c>
      <c r="D870" s="73" t="s">
        <v>1019</v>
      </c>
    </row>
    <row r="871" spans="1:4" hidden="1" x14ac:dyDescent="0.25">
      <c r="A871" s="73">
        <v>870</v>
      </c>
      <c r="B871" s="72" t="s">
        <v>283</v>
      </c>
      <c r="C871" s="73">
        <v>8</v>
      </c>
      <c r="D871" s="73" t="s">
        <v>1019</v>
      </c>
    </row>
    <row r="872" spans="1:4" hidden="1" x14ac:dyDescent="0.25">
      <c r="A872" s="73">
        <v>871</v>
      </c>
      <c r="B872" s="72" t="s">
        <v>1734</v>
      </c>
      <c r="C872" s="73">
        <v>2</v>
      </c>
      <c r="D872" s="73" t="s">
        <v>1019</v>
      </c>
    </row>
    <row r="873" spans="1:4" hidden="1" x14ac:dyDescent="0.25">
      <c r="A873" s="73">
        <v>872</v>
      </c>
      <c r="B873" s="72" t="s">
        <v>286</v>
      </c>
      <c r="C873" s="73">
        <v>2</v>
      </c>
      <c r="D873" s="73" t="s">
        <v>1019</v>
      </c>
    </row>
    <row r="874" spans="1:4" hidden="1" x14ac:dyDescent="0.25">
      <c r="A874" s="73">
        <v>873</v>
      </c>
      <c r="B874" s="72" t="s">
        <v>1879</v>
      </c>
      <c r="C874" s="73">
        <v>1</v>
      </c>
      <c r="D874" s="73" t="s">
        <v>1019</v>
      </c>
    </row>
    <row r="875" spans="1:4" hidden="1" x14ac:dyDescent="0.25">
      <c r="A875" s="73">
        <v>874</v>
      </c>
      <c r="B875" s="72" t="s">
        <v>1737</v>
      </c>
      <c r="C875" s="73">
        <v>1</v>
      </c>
      <c r="D875" s="73" t="s">
        <v>1019</v>
      </c>
    </row>
    <row r="876" spans="1:4" hidden="1" x14ac:dyDescent="0.25">
      <c r="A876" s="73">
        <v>875</v>
      </c>
      <c r="B876" s="72" t="s">
        <v>1738</v>
      </c>
      <c r="C876" s="73">
        <v>1</v>
      </c>
      <c r="D876" s="73" t="s">
        <v>1019</v>
      </c>
    </row>
    <row r="877" spans="1:4" ht="30" hidden="1" x14ac:dyDescent="0.25">
      <c r="A877" s="73">
        <v>876</v>
      </c>
      <c r="B877" s="71" t="s">
        <v>1739</v>
      </c>
      <c r="C877" s="73">
        <v>1</v>
      </c>
      <c r="D877" s="73" t="s">
        <v>1019</v>
      </c>
    </row>
    <row r="878" spans="1:4" hidden="1" x14ac:dyDescent="0.25">
      <c r="A878" s="73">
        <v>877</v>
      </c>
      <c r="B878" s="72" t="s">
        <v>1740</v>
      </c>
      <c r="C878" s="73">
        <v>1</v>
      </c>
      <c r="D878" s="73" t="s">
        <v>1019</v>
      </c>
    </row>
    <row r="879" spans="1:4" hidden="1" x14ac:dyDescent="0.25">
      <c r="A879" s="73">
        <v>878</v>
      </c>
      <c r="B879" s="72" t="s">
        <v>1741</v>
      </c>
      <c r="C879" s="73">
        <v>1</v>
      </c>
      <c r="D879" s="73" t="s">
        <v>1019</v>
      </c>
    </row>
    <row r="880" spans="1:4" hidden="1" x14ac:dyDescent="0.25">
      <c r="A880" s="73">
        <v>879</v>
      </c>
      <c r="B880" s="72" t="s">
        <v>1742</v>
      </c>
      <c r="C880" s="73">
        <v>1</v>
      </c>
      <c r="D880" s="73" t="s">
        <v>1019</v>
      </c>
    </row>
    <row r="881" spans="1:4" hidden="1" x14ac:dyDescent="0.25">
      <c r="A881" s="73">
        <v>880</v>
      </c>
      <c r="B881" s="72" t="s">
        <v>1743</v>
      </c>
      <c r="C881" s="73">
        <v>1</v>
      </c>
      <c r="D881" s="73" t="s">
        <v>1019</v>
      </c>
    </row>
    <row r="882" spans="1:4" hidden="1" x14ac:dyDescent="0.25">
      <c r="A882" s="73">
        <v>881</v>
      </c>
      <c r="B882" s="72" t="s">
        <v>1744</v>
      </c>
      <c r="C882" s="73">
        <v>1</v>
      </c>
      <c r="D882" s="73" t="s">
        <v>1019</v>
      </c>
    </row>
    <row r="883" spans="1:4" hidden="1" x14ac:dyDescent="0.25">
      <c r="A883" s="73">
        <v>882</v>
      </c>
      <c r="B883" s="72" t="s">
        <v>1735</v>
      </c>
      <c r="C883" s="73">
        <v>1</v>
      </c>
      <c r="D883" s="73" t="s">
        <v>1019</v>
      </c>
    </row>
    <row r="884" spans="1:4" hidden="1" x14ac:dyDescent="0.25">
      <c r="A884" s="73">
        <v>883</v>
      </c>
      <c r="B884" s="72" t="s">
        <v>1736</v>
      </c>
      <c r="C884" s="73">
        <v>1</v>
      </c>
      <c r="D884" s="73" t="s">
        <v>1019</v>
      </c>
    </row>
    <row r="885" spans="1:4" hidden="1" x14ac:dyDescent="0.25">
      <c r="A885" s="73">
        <v>884</v>
      </c>
      <c r="B885" s="72" t="s">
        <v>1934</v>
      </c>
      <c r="C885" s="73">
        <v>1</v>
      </c>
      <c r="D885" s="73" t="s">
        <v>1019</v>
      </c>
    </row>
    <row r="886" spans="1:4" hidden="1" x14ac:dyDescent="0.25">
      <c r="A886" s="73">
        <v>885</v>
      </c>
      <c r="B886" s="72" t="s">
        <v>1935</v>
      </c>
      <c r="C886" s="73">
        <v>1</v>
      </c>
      <c r="D886" s="73" t="s">
        <v>1019</v>
      </c>
    </row>
    <row r="887" spans="1:4" hidden="1" x14ac:dyDescent="0.25">
      <c r="A887" s="73">
        <v>886</v>
      </c>
      <c r="B887" s="72" t="s">
        <v>1960</v>
      </c>
      <c r="C887" s="73">
        <v>1</v>
      </c>
      <c r="D887" s="73" t="s">
        <v>1019</v>
      </c>
    </row>
    <row r="888" spans="1:4" hidden="1" x14ac:dyDescent="0.25">
      <c r="A888" s="73">
        <v>887</v>
      </c>
      <c r="B888" s="72" t="s">
        <v>1961</v>
      </c>
      <c r="C888" s="73">
        <v>1</v>
      </c>
      <c r="D888" s="73" t="s">
        <v>1019</v>
      </c>
    </row>
    <row r="889" spans="1:4" hidden="1" x14ac:dyDescent="0.25">
      <c r="A889" s="73">
        <v>888</v>
      </c>
      <c r="B889" s="72" t="s">
        <v>2096</v>
      </c>
      <c r="C889" s="73">
        <v>1</v>
      </c>
      <c r="D889" s="73" t="s">
        <v>1019</v>
      </c>
    </row>
    <row r="890" spans="1:4" hidden="1" x14ac:dyDescent="0.25">
      <c r="A890" s="73">
        <v>889</v>
      </c>
      <c r="B890" s="72" t="s">
        <v>2097</v>
      </c>
      <c r="C890" s="73">
        <v>1</v>
      </c>
      <c r="D890" s="73" t="s">
        <v>1019</v>
      </c>
    </row>
    <row r="891" spans="1:4" hidden="1" x14ac:dyDescent="0.25">
      <c r="A891" s="73">
        <v>890</v>
      </c>
      <c r="B891" s="72" t="s">
        <v>2098</v>
      </c>
      <c r="C891" s="73">
        <v>1</v>
      </c>
      <c r="D891" s="73" t="s">
        <v>1019</v>
      </c>
    </row>
    <row r="892" spans="1:4" hidden="1" x14ac:dyDescent="0.25">
      <c r="A892" s="73">
        <v>891</v>
      </c>
      <c r="B892" s="72" t="s">
        <v>2099</v>
      </c>
      <c r="C892" s="73">
        <v>1</v>
      </c>
      <c r="D892" s="73" t="s">
        <v>1019</v>
      </c>
    </row>
    <row r="893" spans="1:4" hidden="1" x14ac:dyDescent="0.25">
      <c r="A893" s="73">
        <v>892</v>
      </c>
      <c r="B893" s="72" t="s">
        <v>2100</v>
      </c>
      <c r="C893" s="73">
        <v>1</v>
      </c>
      <c r="D893" s="73" t="s">
        <v>1019</v>
      </c>
    </row>
    <row r="894" spans="1:4" hidden="1" x14ac:dyDescent="0.25">
      <c r="A894" s="73">
        <v>893</v>
      </c>
      <c r="B894" s="72" t="s">
        <v>2101</v>
      </c>
      <c r="C894" s="73">
        <v>1</v>
      </c>
      <c r="D894" s="73" t="s">
        <v>1019</v>
      </c>
    </row>
    <row r="895" spans="1:4" hidden="1" x14ac:dyDescent="0.25">
      <c r="A895" s="73">
        <v>894</v>
      </c>
      <c r="B895" s="72" t="s">
        <v>1962</v>
      </c>
      <c r="C895" s="73">
        <v>1</v>
      </c>
      <c r="D895" s="73" t="s">
        <v>1019</v>
      </c>
    </row>
    <row r="896" spans="1:4" hidden="1" x14ac:dyDescent="0.25">
      <c r="A896" s="73">
        <v>895</v>
      </c>
      <c r="B896" s="72" t="s">
        <v>1963</v>
      </c>
      <c r="C896" s="73">
        <v>1</v>
      </c>
      <c r="D896" s="73" t="s">
        <v>1019</v>
      </c>
    </row>
    <row r="897" spans="1:4" hidden="1" x14ac:dyDescent="0.25">
      <c r="A897" s="73">
        <v>896</v>
      </c>
      <c r="B897" s="72" t="s">
        <v>1964</v>
      </c>
      <c r="C897" s="73">
        <v>1</v>
      </c>
      <c r="D897" s="73" t="s">
        <v>1019</v>
      </c>
    </row>
    <row r="898" spans="1:4" hidden="1" x14ac:dyDescent="0.25">
      <c r="A898" s="73">
        <v>897</v>
      </c>
      <c r="B898" s="72" t="s">
        <v>1965</v>
      </c>
      <c r="C898" s="73">
        <v>1</v>
      </c>
      <c r="D898" s="73" t="s">
        <v>1019</v>
      </c>
    </row>
    <row r="899" spans="1:4" hidden="1" x14ac:dyDescent="0.25">
      <c r="A899" s="73">
        <v>898</v>
      </c>
      <c r="B899" s="72" t="s">
        <v>1966</v>
      </c>
      <c r="C899" s="73">
        <v>1</v>
      </c>
      <c r="D899" s="73" t="s">
        <v>1019</v>
      </c>
    </row>
    <row r="900" spans="1:4" hidden="1" x14ac:dyDescent="0.25">
      <c r="A900" s="73">
        <v>899</v>
      </c>
      <c r="B900" s="72" t="s">
        <v>1967</v>
      </c>
      <c r="C900" s="73">
        <v>1</v>
      </c>
      <c r="D900" s="73" t="s">
        <v>1019</v>
      </c>
    </row>
    <row r="901" spans="1:4" hidden="1" x14ac:dyDescent="0.25">
      <c r="A901" s="73">
        <v>900</v>
      </c>
      <c r="B901" s="72" t="s">
        <v>2102</v>
      </c>
      <c r="C901" s="73">
        <v>1</v>
      </c>
      <c r="D901" s="73" t="s">
        <v>1019</v>
      </c>
    </row>
    <row r="902" spans="1:4" hidden="1" x14ac:dyDescent="0.25">
      <c r="A902" s="73">
        <v>901</v>
      </c>
      <c r="B902" s="72" t="s">
        <v>2103</v>
      </c>
      <c r="C902" s="73">
        <v>1</v>
      </c>
      <c r="D902" s="73" t="s">
        <v>1019</v>
      </c>
    </row>
    <row r="903" spans="1:4" hidden="1" x14ac:dyDescent="0.25">
      <c r="A903" s="73">
        <v>902</v>
      </c>
      <c r="B903" s="72" t="s">
        <v>2104</v>
      </c>
      <c r="C903" s="73">
        <v>1</v>
      </c>
      <c r="D903" s="73" t="s">
        <v>1019</v>
      </c>
    </row>
    <row r="904" spans="1:4" hidden="1" x14ac:dyDescent="0.25">
      <c r="A904" s="73">
        <v>903</v>
      </c>
      <c r="B904" s="72" t="s">
        <v>2105</v>
      </c>
      <c r="C904" s="73">
        <v>1</v>
      </c>
      <c r="D904" s="73" t="s">
        <v>1019</v>
      </c>
    </row>
    <row r="905" spans="1:4" hidden="1" x14ac:dyDescent="0.25">
      <c r="A905" s="73">
        <v>904</v>
      </c>
      <c r="B905" s="72" t="s">
        <v>2106</v>
      </c>
      <c r="C905" s="73">
        <v>1</v>
      </c>
      <c r="D905" s="73" t="s">
        <v>1019</v>
      </c>
    </row>
    <row r="906" spans="1:4" hidden="1" x14ac:dyDescent="0.25">
      <c r="A906" s="73">
        <v>905</v>
      </c>
      <c r="B906" s="72" t="s">
        <v>1968</v>
      </c>
      <c r="C906" s="73">
        <v>1</v>
      </c>
      <c r="D906" s="73" t="s">
        <v>1019</v>
      </c>
    </row>
    <row r="907" spans="1:4" hidden="1" x14ac:dyDescent="0.25">
      <c r="A907" s="73">
        <v>906</v>
      </c>
      <c r="B907" s="72" t="s">
        <v>1969</v>
      </c>
      <c r="C907" s="73">
        <v>1</v>
      </c>
      <c r="D907" s="73" t="s">
        <v>1019</v>
      </c>
    </row>
    <row r="908" spans="1:4" hidden="1" x14ac:dyDescent="0.25">
      <c r="A908" s="73">
        <v>907</v>
      </c>
      <c r="B908" s="72" t="s">
        <v>2107</v>
      </c>
      <c r="C908" s="73">
        <v>1</v>
      </c>
      <c r="D908" s="73" t="s">
        <v>1019</v>
      </c>
    </row>
    <row r="909" spans="1:4" hidden="1" x14ac:dyDescent="0.25">
      <c r="A909" s="73">
        <v>908</v>
      </c>
      <c r="B909" s="72" t="s">
        <v>2108</v>
      </c>
      <c r="C909" s="73">
        <v>1</v>
      </c>
      <c r="D909" s="73" t="s">
        <v>1019</v>
      </c>
    </row>
    <row r="910" spans="1:4" hidden="1" x14ac:dyDescent="0.25">
      <c r="A910" s="73">
        <v>909</v>
      </c>
      <c r="B910" s="72" t="s">
        <v>2109</v>
      </c>
      <c r="C910" s="73">
        <v>1</v>
      </c>
      <c r="D910" s="73" t="s">
        <v>1019</v>
      </c>
    </row>
    <row r="911" spans="1:4" ht="45" hidden="1" x14ac:dyDescent="0.25">
      <c r="A911" s="73">
        <v>910</v>
      </c>
      <c r="B911" s="71" t="s">
        <v>2110</v>
      </c>
      <c r="C911" s="73">
        <v>1</v>
      </c>
      <c r="D911" s="73" t="s">
        <v>1019</v>
      </c>
    </row>
    <row r="912" spans="1:4" hidden="1" x14ac:dyDescent="0.25">
      <c r="A912" s="73">
        <v>911</v>
      </c>
      <c r="B912" s="72" t="s">
        <v>2111</v>
      </c>
      <c r="C912" s="73">
        <v>1</v>
      </c>
      <c r="D912" s="73" t="s">
        <v>1019</v>
      </c>
    </row>
    <row r="913" spans="1:4" hidden="1" x14ac:dyDescent="0.25">
      <c r="A913" s="73">
        <v>912</v>
      </c>
      <c r="B913" s="72" t="s">
        <v>2112</v>
      </c>
      <c r="C913" s="73">
        <v>1</v>
      </c>
      <c r="D913" s="73" t="s">
        <v>1019</v>
      </c>
    </row>
    <row r="914" spans="1:4" hidden="1" x14ac:dyDescent="0.25">
      <c r="A914" s="73">
        <v>913</v>
      </c>
      <c r="B914" s="72" t="s">
        <v>2113</v>
      </c>
      <c r="C914" s="73">
        <v>1</v>
      </c>
      <c r="D914" s="73" t="s">
        <v>1019</v>
      </c>
    </row>
    <row r="915" spans="1:4" hidden="1" x14ac:dyDescent="0.25">
      <c r="A915" s="73">
        <v>914</v>
      </c>
      <c r="B915" s="72" t="s">
        <v>2114</v>
      </c>
      <c r="C915" s="73">
        <v>1</v>
      </c>
      <c r="D915" s="73" t="s">
        <v>1019</v>
      </c>
    </row>
    <row r="916" spans="1:4" hidden="1" x14ac:dyDescent="0.25">
      <c r="A916" s="73">
        <v>915</v>
      </c>
      <c r="B916" s="72" t="s">
        <v>2115</v>
      </c>
      <c r="C916" s="73">
        <v>1</v>
      </c>
      <c r="D916" s="73" t="s">
        <v>1019</v>
      </c>
    </row>
    <row r="917" spans="1:4" hidden="1" x14ac:dyDescent="0.25">
      <c r="A917" s="73">
        <v>916</v>
      </c>
      <c r="B917" s="72" t="s">
        <v>2116</v>
      </c>
      <c r="C917" s="73">
        <v>1</v>
      </c>
      <c r="D917" s="73" t="s">
        <v>1019</v>
      </c>
    </row>
    <row r="918" spans="1:4" hidden="1" x14ac:dyDescent="0.25">
      <c r="A918" s="73">
        <v>917</v>
      </c>
      <c r="B918" s="72" t="s">
        <v>2117</v>
      </c>
      <c r="C918" s="73">
        <v>1</v>
      </c>
      <c r="D918" s="73" t="s">
        <v>1019</v>
      </c>
    </row>
    <row r="919" spans="1:4" hidden="1" x14ac:dyDescent="0.25">
      <c r="A919" s="73">
        <v>918</v>
      </c>
      <c r="B919" s="72" t="s">
        <v>2118</v>
      </c>
      <c r="C919" s="73">
        <v>1</v>
      </c>
      <c r="D919" s="73" t="s">
        <v>1019</v>
      </c>
    </row>
    <row r="920" spans="1:4" hidden="1" x14ac:dyDescent="0.25">
      <c r="A920" s="73">
        <v>919</v>
      </c>
      <c r="B920" s="72" t="s">
        <v>2119</v>
      </c>
      <c r="C920" s="73">
        <v>1</v>
      </c>
      <c r="D920" s="73" t="s">
        <v>1019</v>
      </c>
    </row>
    <row r="921" spans="1:4" hidden="1" x14ac:dyDescent="0.25">
      <c r="A921" s="73">
        <v>920</v>
      </c>
      <c r="B921" s="72" t="s">
        <v>2120</v>
      </c>
      <c r="C921" s="73">
        <v>1</v>
      </c>
      <c r="D921" s="73" t="s">
        <v>1019</v>
      </c>
    </row>
    <row r="922" spans="1:4" hidden="1" x14ac:dyDescent="0.25">
      <c r="A922" s="73">
        <v>921</v>
      </c>
      <c r="B922" s="72" t="s">
        <v>1970</v>
      </c>
      <c r="C922" s="73">
        <v>1</v>
      </c>
      <c r="D922" s="73" t="s">
        <v>1019</v>
      </c>
    </row>
    <row r="923" spans="1:4" hidden="1" x14ac:dyDescent="0.25">
      <c r="A923" s="73">
        <v>922</v>
      </c>
      <c r="B923" s="72" t="s">
        <v>1971</v>
      </c>
      <c r="C923" s="73">
        <v>1</v>
      </c>
      <c r="D923" s="73" t="s">
        <v>1019</v>
      </c>
    </row>
    <row r="924" spans="1:4" hidden="1" x14ac:dyDescent="0.25">
      <c r="A924" s="73">
        <v>923</v>
      </c>
      <c r="B924" s="72" t="s">
        <v>1972</v>
      </c>
      <c r="C924" s="73">
        <v>1</v>
      </c>
      <c r="D924" s="73" t="s">
        <v>1019</v>
      </c>
    </row>
    <row r="925" spans="1:4" hidden="1" x14ac:dyDescent="0.25">
      <c r="A925" s="73">
        <v>924</v>
      </c>
      <c r="B925" s="72" t="s">
        <v>1973</v>
      </c>
      <c r="C925" s="73">
        <v>1</v>
      </c>
      <c r="D925" s="73" t="s">
        <v>1019</v>
      </c>
    </row>
    <row r="926" spans="1:4" hidden="1" x14ac:dyDescent="0.25">
      <c r="A926" s="73">
        <v>925</v>
      </c>
      <c r="B926" s="72" t="s">
        <v>2121</v>
      </c>
      <c r="C926" s="73">
        <v>1</v>
      </c>
      <c r="D926" s="73" t="s">
        <v>1019</v>
      </c>
    </row>
    <row r="927" spans="1:4" hidden="1" x14ac:dyDescent="0.25">
      <c r="A927" s="73">
        <v>926</v>
      </c>
      <c r="B927" s="72" t="s">
        <v>2122</v>
      </c>
      <c r="C927" s="73">
        <v>1</v>
      </c>
      <c r="D927" s="73" t="s">
        <v>1019</v>
      </c>
    </row>
    <row r="928" spans="1:4" hidden="1" x14ac:dyDescent="0.25">
      <c r="A928" s="73">
        <v>927</v>
      </c>
      <c r="B928" s="72" t="s">
        <v>2123</v>
      </c>
      <c r="C928" s="73">
        <v>1</v>
      </c>
      <c r="D928" s="73" t="s">
        <v>1019</v>
      </c>
    </row>
    <row r="929" spans="1:4" hidden="1" x14ac:dyDescent="0.25">
      <c r="A929" s="73">
        <v>928</v>
      </c>
      <c r="B929" s="72" t="s">
        <v>2124</v>
      </c>
      <c r="C929" s="73">
        <v>1</v>
      </c>
      <c r="D929" s="73" t="s">
        <v>1019</v>
      </c>
    </row>
    <row r="930" spans="1:4" hidden="1" x14ac:dyDescent="0.25">
      <c r="A930" s="73">
        <v>929</v>
      </c>
      <c r="B930" s="72" t="s">
        <v>1974</v>
      </c>
      <c r="C930" s="73">
        <v>1</v>
      </c>
      <c r="D930" s="73" t="s">
        <v>1019</v>
      </c>
    </row>
    <row r="931" spans="1:4" hidden="1" x14ac:dyDescent="0.25">
      <c r="A931" s="73">
        <v>930</v>
      </c>
      <c r="B931" s="72" t="s">
        <v>1975</v>
      </c>
      <c r="C931" s="73">
        <v>1</v>
      </c>
      <c r="D931" s="73" t="s">
        <v>1019</v>
      </c>
    </row>
    <row r="932" spans="1:4" hidden="1" x14ac:dyDescent="0.25">
      <c r="A932" s="73">
        <v>931</v>
      </c>
      <c r="B932" s="72" t="s">
        <v>1976</v>
      </c>
      <c r="C932" s="73">
        <v>1</v>
      </c>
      <c r="D932" s="73" t="s">
        <v>1019</v>
      </c>
    </row>
    <row r="933" spans="1:4" hidden="1" x14ac:dyDescent="0.25">
      <c r="A933" s="73">
        <v>932</v>
      </c>
      <c r="B933" s="72" t="s">
        <v>1977</v>
      </c>
      <c r="C933" s="73">
        <v>1</v>
      </c>
      <c r="D933" s="73" t="s">
        <v>1019</v>
      </c>
    </row>
    <row r="934" spans="1:4" hidden="1" x14ac:dyDescent="0.25">
      <c r="A934" s="73">
        <v>933</v>
      </c>
      <c r="B934" s="72" t="s">
        <v>1978</v>
      </c>
      <c r="C934" s="73">
        <v>1</v>
      </c>
      <c r="D934" s="73" t="s">
        <v>1019</v>
      </c>
    </row>
    <row r="935" spans="1:4" hidden="1" x14ac:dyDescent="0.25">
      <c r="A935" s="73">
        <v>934</v>
      </c>
      <c r="B935" s="72" t="s">
        <v>1979</v>
      </c>
      <c r="C935" s="73">
        <v>1</v>
      </c>
      <c r="D935" s="73" t="s">
        <v>1019</v>
      </c>
    </row>
    <row r="936" spans="1:4" hidden="1" x14ac:dyDescent="0.25">
      <c r="A936" s="73">
        <v>935</v>
      </c>
      <c r="B936" s="72" t="s">
        <v>1745</v>
      </c>
      <c r="C936" s="73">
        <v>1</v>
      </c>
      <c r="D936" s="73" t="s">
        <v>1019</v>
      </c>
    </row>
    <row r="937" spans="1:4" hidden="1" x14ac:dyDescent="0.25">
      <c r="A937" s="73">
        <v>936</v>
      </c>
      <c r="B937" s="72" t="s">
        <v>1980</v>
      </c>
      <c r="C937" s="73">
        <v>1</v>
      </c>
      <c r="D937" s="73" t="s">
        <v>1019</v>
      </c>
    </row>
    <row r="938" spans="1:4" hidden="1" x14ac:dyDescent="0.25">
      <c r="A938" s="73">
        <v>937</v>
      </c>
      <c r="B938" s="72" t="s">
        <v>1746</v>
      </c>
      <c r="C938" s="73">
        <v>1</v>
      </c>
      <c r="D938" s="73" t="s">
        <v>1019</v>
      </c>
    </row>
    <row r="939" spans="1:4" hidden="1" x14ac:dyDescent="0.25">
      <c r="A939" s="73">
        <v>938</v>
      </c>
      <c r="B939" s="72" t="s">
        <v>1981</v>
      </c>
      <c r="C939" s="73">
        <v>1</v>
      </c>
      <c r="D939" s="73" t="s">
        <v>1019</v>
      </c>
    </row>
    <row r="940" spans="1:4" hidden="1" x14ac:dyDescent="0.25">
      <c r="A940" s="73">
        <v>939</v>
      </c>
      <c r="B940" s="72" t="s">
        <v>1747</v>
      </c>
      <c r="C940" s="73">
        <v>1</v>
      </c>
      <c r="D940" s="73" t="s">
        <v>1019</v>
      </c>
    </row>
    <row r="941" spans="1:4" hidden="1" x14ac:dyDescent="0.25">
      <c r="A941" s="73">
        <v>940</v>
      </c>
      <c r="B941" s="72" t="s">
        <v>1982</v>
      </c>
      <c r="C941" s="73">
        <v>1</v>
      </c>
      <c r="D941" s="73" t="s">
        <v>1019</v>
      </c>
    </row>
    <row r="942" spans="1:4" hidden="1" x14ac:dyDescent="0.25">
      <c r="A942" s="73">
        <v>941</v>
      </c>
      <c r="B942" s="72" t="s">
        <v>1748</v>
      </c>
      <c r="C942" s="73">
        <v>1</v>
      </c>
      <c r="D942" s="73" t="s">
        <v>1019</v>
      </c>
    </row>
    <row r="943" spans="1:4" hidden="1" x14ac:dyDescent="0.25">
      <c r="A943" s="73">
        <v>942</v>
      </c>
      <c r="B943" s="72" t="s">
        <v>1983</v>
      </c>
      <c r="C943" s="73">
        <v>1</v>
      </c>
      <c r="D943" s="73" t="s">
        <v>1019</v>
      </c>
    </row>
    <row r="944" spans="1:4" hidden="1" x14ac:dyDescent="0.25">
      <c r="A944" s="73">
        <v>943</v>
      </c>
      <c r="B944" s="72" t="s">
        <v>1749</v>
      </c>
      <c r="C944" s="73">
        <v>1</v>
      </c>
      <c r="D944" s="73" t="s">
        <v>1019</v>
      </c>
    </row>
    <row r="946" spans="2:2" x14ac:dyDescent="0.25">
      <c r="B946" s="71"/>
    </row>
    <row r="947" spans="2:2" x14ac:dyDescent="0.25">
      <c r="B947" s="71"/>
    </row>
  </sheetData>
  <autoFilter ref="A1:D944">
    <filterColumn colId="3">
      <filters>
        <filter val="м"/>
      </filters>
    </filterColumn>
    <sortState ref="A89:D804">
      <sortCondition ref="B1:B922"/>
    </sortState>
  </autoFilter>
  <customSheetViews>
    <customSheetView guid="{81DE55B0-85A9-418C-8421-697090D2269D}">
      <selection activeCell="F29" sqref="F29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69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Main</vt:lpstr>
      <vt:lpstr>Set</vt:lpstr>
      <vt:lpstr>Lib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Большаков Сергей</dc:creator>
  <dc:description/>
  <cp:lastModifiedBy>Сергей Большаков</cp:lastModifiedBy>
  <cp:revision>17</cp:revision>
  <cp:lastPrinted>2020-03-19T13:34:15Z</cp:lastPrinted>
  <dcterms:created xsi:type="dcterms:W3CDTF">2019-02-15T05:35:44Z</dcterms:created>
  <dcterms:modified xsi:type="dcterms:W3CDTF">2023-01-21T21:12:21Z</dcterms:modified>
  <dc:language>ru-RU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