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10.8.22.1\общая\Производство\"/>
    </mc:Choice>
  </mc:AlternateContent>
  <xr:revisionPtr revIDLastSave="0" documentId="13_ncr:1_{EE9CC192-2C4C-4A2E-A147-FEECD1849A38}" xr6:coauthVersionLast="45" xr6:coauthVersionMax="45" xr10:uidLastSave="{00000000-0000-0000-0000-000000000000}"/>
  <bookViews>
    <workbookView xWindow="-120" yWindow="-120" windowWidth="20730" windowHeight="11160" tabRatio="500" xr2:uid="{00000000-000D-0000-FFFF-FFFF00000000}"/>
  </bookViews>
  <sheets>
    <sheet name="Main" sheetId="3" r:id="rId1"/>
    <sheet name="Set" sheetId="8" r:id="rId2"/>
    <sheet name="Lib" sheetId="7" r:id="rId3"/>
  </sheets>
  <functionGroups builtInGroupCount="19"/>
  <definedNames>
    <definedName name="_xlnm._FilterDatabase" localSheetId="2" hidden="1">Lib!$A$1:$D$120</definedName>
  </definedNames>
  <calcPr calcId="181029"/>
  <customWorkbookViews>
    <customWorkbookView name="Все" guid="{81DE55B0-85A9-418C-8421-697090D2269D}" maximized="1" xWindow="-8" yWindow="-8" windowWidth="1936" windowHeight="1056" tabRatio="500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B131" i="3" l="1"/>
  <c r="AB12" i="3" l="1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9" i="3" l="1"/>
  <c r="AB7" i="3" l="1"/>
  <c r="AB125" i="3" l="1"/>
  <c r="AB121" i="3"/>
  <c r="AB8" i="3"/>
  <c r="AB11" i="3"/>
  <c r="AB88" i="3"/>
  <c r="AB90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2" i="3"/>
  <c r="AB123" i="3"/>
  <c r="AB124" i="3"/>
  <c r="AB126" i="3"/>
  <c r="AB127" i="3"/>
  <c r="AB128" i="3"/>
  <c r="AB129" i="3"/>
  <c r="AB130" i="3"/>
  <c r="AB6" i="3" l="1"/>
  <c r="AB5" i="3" l="1"/>
  <c r="AB4" i="3" s="1"/>
  <c r="E20" i="8"/>
  <c r="E19" i="8"/>
  <c r="E17" i="8"/>
  <c r="E18" i="8"/>
  <c r="E16" i="8"/>
  <c r="E13" i="8"/>
  <c r="E14" i="8"/>
  <c r="E15" i="8"/>
  <c r="E12" i="8"/>
  <c r="E9" i="8"/>
  <c r="E10" i="8"/>
  <c r="E11" i="8"/>
  <c r="E8" i="8"/>
  <c r="N1" i="8"/>
  <c r="M1" i="8"/>
  <c r="L1" i="8"/>
  <c r="K1" i="8"/>
  <c r="J1" i="8"/>
  <c r="I1" i="8"/>
  <c r="H1" i="8"/>
  <c r="G1" i="8"/>
  <c r="F1" i="8"/>
  <c r="U2" i="3"/>
</calcChain>
</file>

<file path=xl/sharedStrings.xml><?xml version="1.0" encoding="utf-8"?>
<sst xmlns="http://schemas.openxmlformats.org/spreadsheetml/2006/main" count="786" uniqueCount="394">
  <si>
    <t>Обозначение</t>
  </si>
  <si>
    <t>Кол-во</t>
  </si>
  <si>
    <t>Производитель</t>
  </si>
  <si>
    <t>Ссылка</t>
  </si>
  <si>
    <t>├</t>
  </si>
  <si>
    <t>Примечание</t>
  </si>
  <si>
    <t>ЦЕНА  за шт.</t>
  </si>
  <si>
    <t>штуки/килограммы/литры/метры</t>
  </si>
  <si>
    <t>Наименование   [Синий - последние изменения]</t>
  </si>
  <si>
    <t>Ед.</t>
  </si>
  <si>
    <t>шт</t>
  </si>
  <si>
    <t>20 - уровень вложения</t>
  </si>
  <si>
    <t>№</t>
  </si>
  <si>
    <t>Наименование</t>
  </si>
  <si>
    <t>Кнопка чтобы пересчитать общее количество одинаковых компонентов</t>
  </si>
  <si>
    <t>Комплектация ТУ</t>
  </si>
  <si>
    <t>Стоймость</t>
  </si>
  <si>
    <t>Компоненты Проекта Устройства Стабилизации Температуры Жидкости</t>
  </si>
  <si>
    <t>СТЖ-1.ПР</t>
  </si>
  <si>
    <t>Печатная плата Система управления (Печатный узел)</t>
  </si>
  <si>
    <t>СТЖ-1.ПУ.01.00.001</t>
  </si>
  <si>
    <r>
      <t xml:space="preserve">Голубой - что обновлено </t>
    </r>
    <r>
      <rPr>
        <b/>
        <sz val="11"/>
        <color rgb="FFFFFF00"/>
        <rFont val="Calibri"/>
        <family val="2"/>
        <charset val="204"/>
      </rPr>
      <t xml:space="preserve">Желтый - что добавить </t>
    </r>
    <r>
      <rPr>
        <b/>
        <sz val="11"/>
        <color rgb="FFFF0000"/>
        <rFont val="Calibri"/>
        <family val="2"/>
        <charset val="204"/>
      </rPr>
      <t xml:space="preserve">Красный - что не верно </t>
    </r>
    <r>
      <rPr>
        <b/>
        <sz val="11"/>
        <color rgb="FF00B050"/>
        <rFont val="Calibri"/>
        <family val="2"/>
        <charset val="204"/>
      </rPr>
      <t>Зеленый - рассчетное значение</t>
    </r>
  </si>
  <si>
    <t>Печатная плата Пульт управления (Печатный узел)</t>
  </si>
  <si>
    <t>СТЖ-1.ПУ.02.00.001</t>
  </si>
  <si>
    <t>Шлейф Система - Пульт</t>
  </si>
  <si>
    <t>Текстолит</t>
  </si>
  <si>
    <t>Микроконтроллер</t>
  </si>
  <si>
    <t>GD32E103C8T6</t>
  </si>
  <si>
    <t>https://www.chipdip.ru/product/gd32e103c8t6-gigadevice</t>
  </si>
  <si>
    <t>GigaDevice</t>
  </si>
  <si>
    <t>СТЖ-1.ПП.01.00.001</t>
  </si>
  <si>
    <t>https://www.rezonit.ru/pcb/odnostoronnie-i-dvustoronnie/</t>
  </si>
  <si>
    <t>Резонит</t>
  </si>
  <si>
    <t>СТЖ-1.ПР Компоненты Проекта Устройства Стабилизации Температуры Жидкости</t>
  </si>
  <si>
    <t>СТЖ-1.ПУ.01.00.001 Печатная плата Система управления (Печатный узел)</t>
  </si>
  <si>
    <t>СТЖ-1.ПП.01.00.001 Текстолит</t>
  </si>
  <si>
    <t>GD32E103C8T6 Микроконтроллер</t>
  </si>
  <si>
    <t>СТЖ-1.ПУ.02.00.001 Печатная плата Пульт управления (Печатный узел)</t>
  </si>
  <si>
    <t>Корпус СТЖ</t>
  </si>
  <si>
    <t>СТЖ-1.СЕ.01.00.00</t>
  </si>
  <si>
    <t>Верхняя крышка</t>
  </si>
  <si>
    <t>Верхний коппус</t>
  </si>
  <si>
    <t>СТЖ-1.СЕ.01.01.00</t>
  </si>
  <si>
    <t>СТЖ-1.СЕ.01.01.01</t>
  </si>
  <si>
    <t>Основание/боковина</t>
  </si>
  <si>
    <t>СТЖ-1.СЕ.01.01.02</t>
  </si>
  <si>
    <t>Лицевая панель</t>
  </si>
  <si>
    <t>СТЖ-1.СЕ.01.01.03</t>
  </si>
  <si>
    <t>Держатель плат</t>
  </si>
  <si>
    <t>СТЖ-1.СЕ.01.01.04</t>
  </si>
  <si>
    <t>Винт М3х6 DIN 7991</t>
  </si>
  <si>
    <t>Требуется окончание модели</t>
  </si>
  <si>
    <t>MESSER 212103S-1500</t>
  </si>
  <si>
    <t>ООО "Ресторанный Техник"</t>
  </si>
  <si>
    <t>Винтовая заклепка М3</t>
  </si>
  <si>
    <t>Защита Нагревателя</t>
  </si>
  <si>
    <t>СТЖ-1.СЕ.01.02.00</t>
  </si>
  <si>
    <t>СТЖ-1.СЕ.01.02.01</t>
  </si>
  <si>
    <t>СТЖ-1.СЕ.01.02.02</t>
  </si>
  <si>
    <t>Защита 1</t>
  </si>
  <si>
    <t>Защита 2</t>
  </si>
  <si>
    <t>СТЖ-1.СЕ.01.00.00 Корпус СТЖ</t>
  </si>
  <si>
    <t>СТЖ-1.СЕ.01.01.00 Верхний коппус</t>
  </si>
  <si>
    <t>СТЖ-1.СЕ.01.01.01 Верхняя крышка</t>
  </si>
  <si>
    <t>СТЖ-1.СЕ.01.01.02 Основание/боковина</t>
  </si>
  <si>
    <t>СТЖ-1.СЕ.01.01.03 Лицевая панель</t>
  </si>
  <si>
    <t>СТЖ-1.СЕ.01.01.04 Держатель плат</t>
  </si>
  <si>
    <t>СТЖ-1.СЕ.01.02.00 Защита Нагревателя</t>
  </si>
  <si>
    <t>СТЖ-1.СЕ.01.02.01 Защита 1</t>
  </si>
  <si>
    <t>СТЖ-1.СЕ.01.02.02 Защита 2</t>
  </si>
  <si>
    <t>Смеситель</t>
  </si>
  <si>
    <t>СТЖ-1.СЕ.01.03.00</t>
  </si>
  <si>
    <t>СТЖ-1.СЕ.01.03.01</t>
  </si>
  <si>
    <t>СТЖ-1.СЕ.01.03.02</t>
  </si>
  <si>
    <t>Вал 130х6 мм</t>
  </si>
  <si>
    <t>Крыльчатка 46</t>
  </si>
  <si>
    <t>Винт М4</t>
  </si>
  <si>
    <t>Шайба М4</t>
  </si>
  <si>
    <t>СТЖ-1.СЕ.01.03.00 Смеситель</t>
  </si>
  <si>
    <t>СТЖ-1.СЕ.01.03.01 Вал 130х6 мм</t>
  </si>
  <si>
    <t>СТЖ-1.СЕ.01.03.02 Крыльчатка 46</t>
  </si>
  <si>
    <t>Корпус датчика температуры</t>
  </si>
  <si>
    <t>СТЖ-1.СЕ.01.04.00</t>
  </si>
  <si>
    <t>Гайка М6</t>
  </si>
  <si>
    <t>Шайба М6</t>
  </si>
  <si>
    <t>Наклейка управления</t>
  </si>
  <si>
    <t>СТЖ-1.НК.01.00.001</t>
  </si>
  <si>
    <t>СТЖ-1.НК.01.00.001 Наклейка управления</t>
  </si>
  <si>
    <t>Датчик температуры</t>
  </si>
  <si>
    <t>СТЖ-1.СЕ.01.04.01</t>
  </si>
  <si>
    <t>B57500K103A1</t>
  </si>
  <si>
    <t>NTC термистор 3% 10 кОм</t>
  </si>
  <si>
    <t>TDK</t>
  </si>
  <si>
    <t>https://www.chipdip.ru/product0/8794351308?from=visited_product</t>
  </si>
  <si>
    <t>ООО "ДAНА_НН"</t>
  </si>
  <si>
    <t>BCB0802-02-BL</t>
  </si>
  <si>
    <t>ЖКИ 8х2 диспей</t>
  </si>
  <si>
    <t>Blaze Display Technology</t>
  </si>
  <si>
    <t>https://www.chipdip.ru/product/bcb0802-02-2</t>
  </si>
  <si>
    <t>Электродвигатель 12V</t>
  </si>
  <si>
    <t>RS 775/12В3800</t>
  </si>
  <si>
    <t>https://dvrobot.ru/catalog/mekhanika/motory/bez_reduktorov/16211/</t>
  </si>
  <si>
    <t>BCB0802-02-BL ЖКИ 8х2 диспей</t>
  </si>
  <si>
    <t>RS 775/12В3800 Электродвигатель 12V</t>
  </si>
  <si>
    <t>СТЖ-1.СЕ.01.04.00 Датчик температуры</t>
  </si>
  <si>
    <t>B57500K103A1 NTC термистор 3% 10 кОм</t>
  </si>
  <si>
    <t>СТЖ-1.СЕ.01.04.01 Корпус датчика температуры</t>
  </si>
  <si>
    <t>http://elman.su/production/cords/</t>
  </si>
  <si>
    <t>аналог https://www.elitan.ru/price/item558361</t>
  </si>
  <si>
    <t>Elman</t>
  </si>
  <si>
    <t>KST-760871631</t>
  </si>
  <si>
    <t>https://kodo-trans.ru/katalog/analogi/wurth-ac-dc-flyback/kst-760871631/</t>
  </si>
  <si>
    <t>Контроллер источника питания</t>
  </si>
  <si>
    <t>TEA1733T</t>
  </si>
  <si>
    <t>NXP</t>
  </si>
  <si>
    <t>https://www.chipdip.ru/product/tea1530at?from=suggest_product</t>
  </si>
  <si>
    <t>https://www.chipdip.ru/product0/8258530924</t>
  </si>
  <si>
    <t>ABM-001-50</t>
  </si>
  <si>
    <t>Радиатор</t>
  </si>
  <si>
    <t>https://www.chipdip.ru/product/pg-r-7</t>
  </si>
  <si>
    <t>Ввод кабельный спиральный</t>
  </si>
  <si>
    <t>PG-R-7</t>
  </si>
  <si>
    <t>Cетевой шнур ПВС-ВП 3х2,5 с угловой вилкой S22 2,5метра</t>
  </si>
  <si>
    <t>Конденсатор 1206 10% 50В 4.7мкФ X7R</t>
  </si>
  <si>
    <t>Конденсатор 0805 10% 50В 100нФ X7R</t>
  </si>
  <si>
    <t>Кнопка тактовая 12x12x5</t>
  </si>
  <si>
    <t>Светодиод 0805 RED 2,5В 230мКд</t>
  </si>
  <si>
    <t>Пьезоизлучатель звуковой 4кГц 60дБ 3В 17x4.6мм</t>
  </si>
  <si>
    <t>Резистор 0805 5% 1,2 кОм</t>
  </si>
  <si>
    <t>Резистор 0805 5% 120Ом</t>
  </si>
  <si>
    <t>Резистор 0805 5% 0 Ом</t>
  </si>
  <si>
    <t>Резистор 0805 5% 1 кОм</t>
  </si>
  <si>
    <t>Транзистор MOSFET N-Channel 20В 4.2А</t>
  </si>
  <si>
    <t>Разъем PLS-14, шаг 2.54мм</t>
  </si>
  <si>
    <t>Разъем шлейф, шаг 2.54мм</t>
  </si>
  <si>
    <t>Разъем на шлейф IDC-40F (DS1016-40)</t>
  </si>
  <si>
    <t>Шлейф плоский 1,27мм 40жил</t>
  </si>
  <si>
    <t>CC1206KKX7R9BB475</t>
  </si>
  <si>
    <t>GRM21BR71H104KA0 1L</t>
  </si>
  <si>
    <t>KAN1211-0501B</t>
  </si>
  <si>
    <t>KP-2012SURCK</t>
  </si>
  <si>
    <t>PS1740P02CE</t>
  </si>
  <si>
    <t>RC0805JR-071K2L</t>
  </si>
  <si>
    <t>RC0805JR-07120RL</t>
  </si>
  <si>
    <t>RC0805JR-070RL</t>
  </si>
  <si>
    <t>RC0805JR-071KL</t>
  </si>
  <si>
    <t>IRLML2502</t>
  </si>
  <si>
    <t xml:space="preserve"> KLS1-207-2-14-S</t>
  </si>
  <si>
    <t>FDC-40 (DS1018-40)</t>
  </si>
  <si>
    <t>IDC-40F (DS1016-40)</t>
  </si>
  <si>
    <t>DS1057-40-30 (FRC-40- 30)</t>
  </si>
  <si>
    <t>https://www.chipdip.ru/product0/8010257222</t>
  </si>
  <si>
    <t>https://www.chipdip.ru/product0/9000489412</t>
  </si>
  <si>
    <t>https://www.chipdip.ru/product0/8007167254</t>
  </si>
  <si>
    <t>https://www.chipdip.ru/product0/8014215052</t>
  </si>
  <si>
    <t>https://www.chipdip.ru/product0/8004079529</t>
  </si>
  <si>
    <t>https://www.chipdip.ru/product/0.125w-0805-1.2-kom-5</t>
  </si>
  <si>
    <t>https://www.chipdip.ru/product/0.125w-0805-120-om-5</t>
  </si>
  <si>
    <t>https://www.chipdip.ru/product/0.125w-0805-peremychka-0-om</t>
  </si>
  <si>
    <t>https://www.chipdip.ru/product/0.125w-0805-1-kom-5</t>
  </si>
  <si>
    <t>https://www.chipdip.ru/product/irlml2502tr</t>
  </si>
  <si>
    <t>https://www.chipdip.ru/product0/8013285224</t>
  </si>
  <si>
    <t>https://www.chipdip.ru/product/fdc-40</t>
  </si>
  <si>
    <t>https://www.chipdip.ru/product/idc-40f</t>
  </si>
  <si>
    <t>https://www.chipdip.ru/product/ds1057-40-30-frc-40-30-2</t>
  </si>
  <si>
    <t xml:space="preserve">Конденсатор К73-17, JFA02G104J 0.01мкФ 400 В 5% </t>
  </si>
  <si>
    <t>Конденсатор Эл-лит. 20% 400В 100мкФ</t>
  </si>
  <si>
    <t>Конденсатор 1206 10% 630В 2.2нФ X7R</t>
  </si>
  <si>
    <t>Конденсатор 1206 10% 630В 4.7нФ X7R</t>
  </si>
  <si>
    <t xml:space="preserve"> К73-17 0.1мкФ, 400В, 5%, JFA02G104J</t>
  </si>
  <si>
    <t>JNE2G101M10002200 250</t>
  </si>
  <si>
    <t>GRM31BR72J222KW0 1L</t>
  </si>
  <si>
    <t>GRM31BR72J472KW0 1L</t>
  </si>
  <si>
    <t>Конденсатор 0805 10% 16В 470нФ X7R</t>
  </si>
  <si>
    <t>Конденсатор 0805 10% 25В 220нФ X7R</t>
  </si>
  <si>
    <t>Конденсатор 0805 10% 100В 10нФ X7R</t>
  </si>
  <si>
    <t>Конденсатор Эл-лит. 20% 16В 680мкФ</t>
  </si>
  <si>
    <t>Конденсатор 0805 10% 250В 22пФC0G</t>
  </si>
  <si>
    <t>Конденсатор X1/Y1 20% 250В 4,7нФ</t>
  </si>
  <si>
    <t>Конденсатор X1/Y1 20% 250В 1нФ</t>
  </si>
  <si>
    <t>Конденсатор X2 Пропилен 10% 305В 100нФ</t>
  </si>
  <si>
    <t>Конденсатор 0805 10% 50В 1мкФ X7R</t>
  </si>
  <si>
    <t>Конденсатор 0805 10% 100В 22нФ X7R</t>
  </si>
  <si>
    <t>Конденсатор 0603 05% 50В 12пФNP0</t>
  </si>
  <si>
    <t>Конденсатор 0805 05% 50В 20пФNP0</t>
  </si>
  <si>
    <t>ИОН TL431ACDBZT, SOT-23_3</t>
  </si>
  <si>
    <t>Оптосимистор MOC3063, DIP6 zerocross</t>
  </si>
  <si>
    <t>Оптрон PC817, DIP-4</t>
  </si>
  <si>
    <t>AC/DC TEA1733, SO8</t>
  </si>
  <si>
    <t>Фильтр ЭМП 300В 1,6А 14мГн</t>
  </si>
  <si>
    <t>Дроссель 10% 10uH 1,3A</t>
  </si>
  <si>
    <t>Кварцевый резонатор 32,768 кГц</t>
  </si>
  <si>
    <t>Кварцевый резонатор 8MHz HC49</t>
  </si>
  <si>
    <t>Резистор 0805 5% 180Ом</t>
  </si>
  <si>
    <t>Резистор 1206 5% 360Ом</t>
  </si>
  <si>
    <t>Резистор 1206 5% 150Ом</t>
  </si>
  <si>
    <t>Резистор 1206 5% 330Ом</t>
  </si>
  <si>
    <t>Резистор 0805 5% 4,7 Ом</t>
  </si>
  <si>
    <t>Резистор 0805 5% 10 Ом</t>
  </si>
  <si>
    <t>Резистор 0805 5% 33 кОм</t>
  </si>
  <si>
    <t>Резистор 1206 5% 47 кОм</t>
  </si>
  <si>
    <t>Резистор 1206 5% 3,3 МОм</t>
  </si>
  <si>
    <t>Резистор 0805 5% 560 кОм</t>
  </si>
  <si>
    <t>Резистор 1206 5% 3 МОм</t>
  </si>
  <si>
    <t>Резистор 0805 5% 82 кОм</t>
  </si>
  <si>
    <t>Резистор 1206 1% 150мОм импульсный</t>
  </si>
  <si>
    <t>Резистор 1206 1% 220Ом</t>
  </si>
  <si>
    <t>Резистор 0805 5% 2,2 МОм</t>
  </si>
  <si>
    <t>Резистор 1206 5% 100Ом</t>
  </si>
  <si>
    <t>Резистор 0805 5% 150Ом</t>
  </si>
  <si>
    <t>Резистор 0805 5% 5,1 кОм, Резистор 0805 1% 5,1 кОм</t>
  </si>
  <si>
    <t>Резистор 0805 1% 20 кОм</t>
  </si>
  <si>
    <t>Резистор 0805 5% 10 кОм</t>
  </si>
  <si>
    <t>Резистор 0805 5% 22 Ом</t>
  </si>
  <si>
    <t>Резистор 0805 5% 100Ом</t>
  </si>
  <si>
    <t>Резистор 1206 5% 510 кОм</t>
  </si>
  <si>
    <t>Термистор 1% 10кОм</t>
  </si>
  <si>
    <t>Варистор 10% 300В 300пФ50А</t>
  </si>
  <si>
    <t>Трансформатор KST760871631</t>
  </si>
  <si>
    <t>Лин. Стаб. 5V 800mA</t>
  </si>
  <si>
    <t>Лин. Стаб. 3.3V 300mA</t>
  </si>
  <si>
    <t>Драйвер MOSFET 25V 3.5A</t>
  </si>
  <si>
    <t>Диод USBLC6-2SC6, SOT23-6L</t>
  </si>
  <si>
    <t>Диодный мост DB207</t>
  </si>
  <si>
    <t>Диод SOD-323 100В 150мА</t>
  </si>
  <si>
    <t>Диод SMA 1кВ 2А</t>
  </si>
  <si>
    <t>Стабилитрон miniMELF 24В 0,5Вт</t>
  </si>
  <si>
    <t>Диод SMA 100В 1А</t>
  </si>
  <si>
    <t>Диод TO220 100В 20А</t>
  </si>
  <si>
    <t>Диод BAT54S</t>
  </si>
  <si>
    <t>Симистор BTA16- 600BRG, TO-220AB</t>
  </si>
  <si>
    <t>Транзистор MOSFET N-Ch 600В 4А</t>
  </si>
  <si>
    <t>Транзистор MOSFET N-Ch 60В 45А</t>
  </si>
  <si>
    <t>Разъем PLS-4, шаг 2.54мм</t>
  </si>
  <si>
    <t>Разъем 2EDGR-5.0- 03P-14-00A(H)</t>
  </si>
  <si>
    <t>Разъем 2EDGR-5.0- 02P-14-00A(H)</t>
  </si>
  <si>
    <t>Разъем шлейф на плату 40 pin шаг 2.54 мм</t>
  </si>
  <si>
    <t>Разъем PLS-2, шаг 2.54мм</t>
  </si>
  <si>
    <t>GRM219R71C474K</t>
  </si>
  <si>
    <t>GRM219R71E224K</t>
  </si>
  <si>
    <t>GRM21BR72A103KA0 1L</t>
  </si>
  <si>
    <t>JRC1C681M035008001 60000B</t>
  </si>
  <si>
    <t>GRM21A5C2E220J</t>
  </si>
  <si>
    <t>DE1E3KX472MN4AN0 1F</t>
  </si>
  <si>
    <t>DE1E3KX102MA4BN0 1F</t>
  </si>
  <si>
    <t>B32922C3104K000</t>
  </si>
  <si>
    <t>GRM21BR71H105KA1 2L</t>
  </si>
  <si>
    <t>GRM21BR72A223KA0 1L</t>
  </si>
  <si>
    <t>CC0603JRNPO9BN120</t>
  </si>
  <si>
    <t>CC0805JRNPO9BN200</t>
  </si>
  <si>
    <t>TL431ACDBZT, SOT23_3</t>
  </si>
  <si>
    <t>MOC3063</t>
  </si>
  <si>
    <t>LTV-356T</t>
  </si>
  <si>
    <t>TEA1733</t>
  </si>
  <si>
    <t>PLY10AN1521R6R2</t>
  </si>
  <si>
    <t>CD54-100K</t>
  </si>
  <si>
    <t>DT-26</t>
  </si>
  <si>
    <t>L-KLS14-HC-49S-8.000- 20-30-A</t>
  </si>
  <si>
    <t>RC0805JR-07180RL</t>
  </si>
  <si>
    <t>RC1206JR-07360RL</t>
  </si>
  <si>
    <t>RC1206JR-07150RL</t>
  </si>
  <si>
    <t>RC1206JR-07330RL</t>
  </si>
  <si>
    <t>RC0805JR-074R7L</t>
  </si>
  <si>
    <t>RC0805JR-0710RL</t>
  </si>
  <si>
    <t>RC0805JR-0733KL</t>
  </si>
  <si>
    <t>RC1206JR-0747КL</t>
  </si>
  <si>
    <t>RC1206JR-073M3L</t>
  </si>
  <si>
    <t>RC0805JR-07560KL</t>
  </si>
  <si>
    <t>RC1206JR-073ML</t>
  </si>
  <si>
    <t>RC0805JR-0782KL</t>
  </si>
  <si>
    <t>ERJ8BSFR15V</t>
  </si>
  <si>
    <t>RC1206FR-07220RL</t>
  </si>
  <si>
    <t>RC0805JR-072M2L</t>
  </si>
  <si>
    <t>RC1206JR-07100RL</t>
  </si>
  <si>
    <t>RC0805JR-07150KL</t>
  </si>
  <si>
    <t>RC0805JR-075K1L, RC0805FR-075K1L</t>
  </si>
  <si>
    <t>RC0805FR-0720KL</t>
  </si>
  <si>
    <t>RC0805JR-0710KL</t>
  </si>
  <si>
    <t>RC0805JR-0722RL</t>
  </si>
  <si>
    <t>RC0805JR-07100RL</t>
  </si>
  <si>
    <t>RC1206JR-07510KL</t>
  </si>
  <si>
    <t>B57861-S 103-F40</t>
  </si>
  <si>
    <t>B72214S0301K101</t>
  </si>
  <si>
    <t>AMS1117-5.0</t>
  </si>
  <si>
    <t>RT9193-33GB</t>
  </si>
  <si>
    <t>PN7001LTB-A1</t>
  </si>
  <si>
    <t>USBLC6-2SC6, SOT23- 6L</t>
  </si>
  <si>
    <t>DB-207</t>
  </si>
  <si>
    <t>1N4148WS</t>
  </si>
  <si>
    <t>S2M</t>
  </si>
  <si>
    <t>BZV55C24</t>
  </si>
  <si>
    <t>M2</t>
  </si>
  <si>
    <t>MBR20100CT</t>
  </si>
  <si>
    <t>BAT54S</t>
  </si>
  <si>
    <t>BTA16-600BRG, TO220AB</t>
  </si>
  <si>
    <t>STP4NK60ZFP</t>
  </si>
  <si>
    <t>2SK2232-VB</t>
  </si>
  <si>
    <t>PLS-4</t>
  </si>
  <si>
    <t>2EDGR-5.0-03P-14- 00A(H)</t>
  </si>
  <si>
    <t>2EDGR-5.0-02P-14- 00A(H)</t>
  </si>
  <si>
    <t>BH-40 (DS1013-40S) (IDC-40MS)</t>
  </si>
  <si>
    <t>PLS-2</t>
  </si>
  <si>
    <t>PG-R-7 Ввод кабельный спиральный</t>
  </si>
  <si>
    <t>TEA1733T Контроллер источника питания</t>
  </si>
  <si>
    <t>KST-760871631 Трансформатор импульсный</t>
  </si>
  <si>
    <t>ABM-001-50 Радиатор</t>
  </si>
  <si>
    <t>CC1206KKX7R9BB475 Конденсатор 1206 10% 50В 4.7мкФ X7R</t>
  </si>
  <si>
    <t>GRM21BR71H104KA0 1L Конденсатор 0805 10% 50В 100нФ X7R</t>
  </si>
  <si>
    <t>JNE2G101M10002200 250 Конденсатор Эл-лит. 20% 400В 100мкФ</t>
  </si>
  <si>
    <t>GRM31BR72J222KW0 1L Конденсатор 1206 10% 630В 2.2нФ X7R</t>
  </si>
  <si>
    <t>GRM31BR72J472KW0 1L Конденсатор 1206 10% 630В 4.7нФ X7R</t>
  </si>
  <si>
    <t>GRM219R71C474K Конденсатор 0805 10% 16В 470нФ X7R</t>
  </si>
  <si>
    <t>GRM219R71E224K Конденсатор 0805 10% 25В 220нФ X7R</t>
  </si>
  <si>
    <t>GRM21BR72A103KA0 1L Конденсатор 0805 10% 100В 10нФ X7R</t>
  </si>
  <si>
    <t>JRC1C681M035008001 60000B Конденсатор Эл-лит. 20% 16В 680мкФ</t>
  </si>
  <si>
    <t>GRM21A5C2E220J Конденсатор 0805 10% 250В 22пФC0G</t>
  </si>
  <si>
    <t>DE1E3KX472MN4AN0 1F Конденсатор X1/Y1 20% 250В 4,7нФ</t>
  </si>
  <si>
    <t>DE1E3KX102MA4BN0 1F Конденсатор X1/Y1 20% 250В 1нФ</t>
  </si>
  <si>
    <t>B32922C3104K000 Конденсатор X2 Пропилен 10% 305В 100нФ</t>
  </si>
  <si>
    <t>GRM21BR71H105KA1 2L Конденсатор 0805 10% 50В 1мкФ X7R</t>
  </si>
  <si>
    <t>GRM21BR72A223KA0 1L Конденсатор 0805 10% 100В 22нФ X7R</t>
  </si>
  <si>
    <t>CC0603JRNPO9BN120 Конденсатор 0603 05% 50В 12пФNP0</t>
  </si>
  <si>
    <t>CC0805JRNPO9BN200 Конденсатор 0805 05% 50В 20пФNP0</t>
  </si>
  <si>
    <t>TL431ACDBZT, SOT23_3 ИОН TL431ACDBZT, SOT-23_3</t>
  </si>
  <si>
    <t>MOC3063 Оптосимистор MOC3063, DIP6 zerocross</t>
  </si>
  <si>
    <t>LTV-356T Оптрон PC817, DIP-4</t>
  </si>
  <si>
    <t>TEA1733 AC/DC TEA1733, SO8</t>
  </si>
  <si>
    <t>PLY10AN1521R6R2 Фильтр ЭМП 300В 1,6А 14мГн</t>
  </si>
  <si>
    <t>CD54-100K Дроссель 10% 10uH 1,3A</t>
  </si>
  <si>
    <t>DT-26 Кварцевый резонатор 32,768 кГц</t>
  </si>
  <si>
    <t>L-KLS14-HC-49S-8.000- 20-30-A Кварцевый резонатор 8MHz HC49</t>
  </si>
  <si>
    <t>RC0805JR-07180RL Резистор 0805 5% 180Ом</t>
  </si>
  <si>
    <t>RC1206JR-07360RL Резистор 1206 5% 360Ом</t>
  </si>
  <si>
    <t>RC0805JR-071K2L Резистор 0805 5% 1,2 кОм</t>
  </si>
  <si>
    <t>RC1206JR-07150RL Резистор 1206 5% 150Ом</t>
  </si>
  <si>
    <t>RC1206JR-07330RL Резистор 1206 5% 330Ом</t>
  </si>
  <si>
    <t>RC0805JR-071KL Резистор 0805 5% 1 кОм</t>
  </si>
  <si>
    <t>RC0805JR-074R7L Резистор 0805 5% 4,7 Ом</t>
  </si>
  <si>
    <t>RC0805JR-0710RL Резистор 0805 5% 10 Ом</t>
  </si>
  <si>
    <t>RC0805JR-0733KL Резистор 0805 5% 33 кОм</t>
  </si>
  <si>
    <t>RC1206JR-0747КL Резистор 1206 5% 47 кОм</t>
  </si>
  <si>
    <t>RC1206JR-073M3L Резистор 1206 5% 3,3 МОм</t>
  </si>
  <si>
    <t>RC0805JR-07560KL Резистор 0805 5% 560 кОм</t>
  </si>
  <si>
    <t>RC1206JR-073ML Резистор 1206 5% 3 МОм</t>
  </si>
  <si>
    <t>RC0805JR-0782KL Резистор 0805 5% 82 кОм</t>
  </si>
  <si>
    <t>ERJ8BSFR15V Резистор 1206 1% 150мОм импульсный</t>
  </si>
  <si>
    <t>RC1206FR-07220RL Резистор 1206 1% 220Ом</t>
  </si>
  <si>
    <t>RC0805JR-072M2L Резистор 0805 5% 2,2 МОм</t>
  </si>
  <si>
    <t>RC1206JR-07100RL Резистор 1206 5% 100Ом</t>
  </si>
  <si>
    <t>RC0805JR-07150KL Резистор 0805 5% 150Ом</t>
  </si>
  <si>
    <t>RC0805JR-075K1L, RC0805FR-075K1L Резистор 0805 5% 5,1 кОм, Резистор 0805 1% 5,1 кОм</t>
  </si>
  <si>
    <t>RC0805FR-0720KL Резистор 0805 1% 20 кОм</t>
  </si>
  <si>
    <t>RC0805JR-0710KL Резистор 0805 5% 10 кОм</t>
  </si>
  <si>
    <t>RC0805JR-070RL Резистор 0805 5% 0 Ом</t>
  </si>
  <si>
    <t>RC0805JR-0722RL Резистор 0805 5% 22 Ом</t>
  </si>
  <si>
    <t>RC0805JR-07100RL Резистор 0805 5% 100Ом</t>
  </si>
  <si>
    <t>RC1206JR-07510KL Резистор 1206 5% 510 кОм</t>
  </si>
  <si>
    <t>B57861-S 103-F40 Термистор 1% 10кОм</t>
  </si>
  <si>
    <t>B72214S0301K101 Варистор 10% 300В 300пФ50А</t>
  </si>
  <si>
    <t>KST-760871631 Трансформатор KST760871631</t>
  </si>
  <si>
    <t>AMS1117-5.0 Лин. Стаб. 5V 800mA</t>
  </si>
  <si>
    <t>RT9193-33GB Лин. Стаб. 3.3V 300mA</t>
  </si>
  <si>
    <t>PN7001LTB-A1 Драйвер MOSFET 25V 3.5A</t>
  </si>
  <si>
    <t>USBLC6-2SC6, SOT23- 6L Диод USBLC6-2SC6, SOT23-6L</t>
  </si>
  <si>
    <t>DB-207 Диодный мост DB207</t>
  </si>
  <si>
    <t>1N4148WS Диод SOD-323 100В 150мА</t>
  </si>
  <si>
    <t>S2M Диод SMA 1кВ 2А</t>
  </si>
  <si>
    <t>BZV55C24 Стабилитрон miniMELF 24В 0,5Вт</t>
  </si>
  <si>
    <t>M2 Диод SMA 100В 1А</t>
  </si>
  <si>
    <t>MBR20100CT Диод TO220 100В 20А</t>
  </si>
  <si>
    <t>BAT54S Диод BAT54S</t>
  </si>
  <si>
    <t>IRLML2502 Транзистор MOSFET N-Channel 20В 4.2А</t>
  </si>
  <si>
    <t>BTA16-600BRG, TO220AB Симистор BTA16- 600BRG, TO-220AB</t>
  </si>
  <si>
    <t>STP4NK60ZFP Транзистор MOSFET N-Ch 600В 4А</t>
  </si>
  <si>
    <t>2SK2232-VB Транзистор MOSFET N-Ch 60В 45А</t>
  </si>
  <si>
    <t>PLS-4 Разъем PLS-4, шаг 2.54мм</t>
  </si>
  <si>
    <t>2EDGR-5.0-03P-14- 00A(H) Разъем 2EDGR-5.0- 03P-14-00A(H)</t>
  </si>
  <si>
    <t>2EDGR-5.0-02P-14- 00A(H) Разъем 2EDGR-5.0- 02P-14-00A(H)</t>
  </si>
  <si>
    <t>BH-40 (DS1013-40S) (IDC-40MS) Разъем шлейф на плату 40 pin шаг 2.54 мм</t>
  </si>
  <si>
    <t>PLS-2 Разъем PLS-2, шаг 2.54мм</t>
  </si>
  <si>
    <t>KAN1211-0501B Кнопка тактовая 12x12x5</t>
  </si>
  <si>
    <t>KP-2012SURCK Светодиод 0805 RED 2,5В 230мКд</t>
  </si>
  <si>
    <t>PS1740P02CE Пьезоизлучатель звуковой 4кГц 60дБ 3В 17x4.6мм</t>
  </si>
  <si>
    <t>RC0805JR-07120RL Резистор 0805 5% 120Ом</t>
  </si>
  <si>
    <t>FDC-40 (DS1018-40) Разъем шлейф, шаг 2.54мм</t>
  </si>
  <si>
    <t>IDC-40F (DS1016-40) Разъем на шлейф IDC-40F (DS1016-40)</t>
  </si>
  <si>
    <t>DS1057-40-30 (FRC-40- 30) Шлейф плоский 1,27мм 40жил</t>
  </si>
  <si>
    <t>К73-17 0.1мкФ, 400В, 5%, JFA02G104J Конденсатор К73-17, JFA02G104J 0.01мкФ 400 В 5%</t>
  </si>
  <si>
    <t>KLS1-207-2-14-S Разъем PLS-14, шаг 2.54мм</t>
  </si>
  <si>
    <t>Нагреватель</t>
  </si>
  <si>
    <t>ТЭН 2 кВт</t>
  </si>
  <si>
    <t>СТЖ-1.СЕ.01.05.00</t>
  </si>
  <si>
    <t>ООО "Протэко"</t>
  </si>
  <si>
    <t>https://proteko.su/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</si>
</sst>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13" x14ac:knownFonts="1">
    <font>
      <sz val="11"/>
      <color rgb="FF000000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name val="Consolas"/>
      <family val="3"/>
      <charset val="204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Calibri"/>
      <family val="2"/>
      <charset val="204"/>
    </font>
    <font>
      <b/>
      <sz val="11"/>
      <color theme="8" tint="0.39997558519241921"/>
      <name val="Calibri"/>
      <family val="2"/>
      <charset val="204"/>
    </font>
    <font>
      <b/>
      <sz val="11"/>
      <color rgb="FFFF0000"/>
      <name val="Calibri"/>
      <family val="2"/>
      <charset val="204"/>
    </font>
    <font>
      <b/>
      <sz val="11"/>
      <color rgb="FFFFFF00"/>
      <name val="Calibri"/>
      <family val="2"/>
      <charset val="204"/>
    </font>
    <font>
      <sz val="11"/>
      <name val="Calibri"/>
      <family val="2"/>
      <charset val="204"/>
    </font>
    <font>
      <b/>
      <sz val="11"/>
      <color rgb="FF00B050"/>
      <name val="Calibri"/>
      <family val="2"/>
      <charset val="204"/>
    </font>
    <font>
      <sz val="11"/>
      <color theme="4" tint="0.3999755851924192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Border="0" applyProtection="0"/>
  </cellStyleXfs>
  <cellXfs count="70">
    <xf numFmtId="0" fontId="0" fillId="0" borderId="0" xfId="0"/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164" fontId="4" fillId="0" borderId="0" xfId="0" applyNumberFormat="1" applyFont="1" applyFill="1" applyAlignment="1">
      <alignment vertical="center"/>
    </xf>
    <xf numFmtId="0" fontId="4" fillId="2" borderId="4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vertical="center"/>
    </xf>
    <xf numFmtId="164" fontId="4" fillId="0" borderId="3" xfId="0" applyNumberFormat="1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/>
    </xf>
    <xf numFmtId="164" fontId="4" fillId="0" borderId="1" xfId="0" applyNumberFormat="1" applyFont="1" applyFill="1" applyBorder="1" applyAlignment="1">
      <alignment vertical="center"/>
    </xf>
    <xf numFmtId="49" fontId="5" fillId="0" borderId="0" xfId="0" applyNumberFormat="1" applyFont="1"/>
    <xf numFmtId="0" fontId="5" fillId="0" borderId="0" xfId="0" applyFont="1"/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4" fillId="0" borderId="0" xfId="0" applyNumberFormat="1" applyFont="1" applyFill="1" applyAlignment="1">
      <alignment horizontal="left" vertical="center"/>
    </xf>
    <xf numFmtId="49" fontId="4" fillId="0" borderId="3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2" borderId="2" xfId="0" applyNumberFormat="1" applyFont="1" applyFill="1" applyBorder="1" applyAlignment="1">
      <alignment horizontal="right" vertical="center"/>
    </xf>
    <xf numFmtId="0" fontId="7" fillId="3" borderId="0" xfId="0" applyFont="1" applyFill="1" applyAlignment="1">
      <alignment vertical="center"/>
    </xf>
    <xf numFmtId="0" fontId="0" fillId="3" borderId="0" xfId="0" applyFill="1"/>
    <xf numFmtId="49" fontId="0" fillId="3" borderId="0" xfId="0" applyNumberFormat="1" applyFill="1" applyAlignment="1">
      <alignment horizontal="left" vertical="center"/>
    </xf>
    <xf numFmtId="164" fontId="10" fillId="0" borderId="1" xfId="0" applyNumberFormat="1" applyFont="1" applyBorder="1" applyAlignment="1">
      <alignment vertical="center"/>
    </xf>
    <xf numFmtId="2" fontId="4" fillId="0" borderId="1" xfId="0" applyNumberFormat="1" applyFont="1" applyFill="1" applyBorder="1" applyAlignment="1">
      <alignment vertical="center"/>
    </xf>
    <xf numFmtId="164" fontId="4" fillId="4" borderId="1" xfId="0" applyNumberFormat="1" applyFont="1" applyFill="1" applyBorder="1" applyAlignment="1">
      <alignment vertical="center"/>
    </xf>
    <xf numFmtId="0" fontId="1" fillId="0" borderId="1" xfId="1" applyBorder="1" applyProtection="1"/>
    <xf numFmtId="0" fontId="12" fillId="0" borderId="0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3" fillId="0" borderId="1" xfId="0" applyFont="1" applyFill="1" applyBorder="1" applyAlignment="1">
      <alignment vertical="center"/>
    </xf>
    <xf numFmtId="164" fontId="0" fillId="3" borderId="0" xfId="0" applyNumberFormat="1" applyFill="1"/>
    <xf numFmtId="164" fontId="0" fillId="0" borderId="0" xfId="0" applyNumberFormat="1"/>
    <xf numFmtId="49" fontId="4" fillId="0" borderId="0" xfId="0" applyNumberFormat="1" applyFont="1"/>
    <xf numFmtId="0" fontId="4" fillId="0" borderId="0" xfId="0" applyFont="1"/>
    <xf numFmtId="0" fontId="10" fillId="0" borderId="0" xfId="0" applyFont="1"/>
    <xf numFmtId="0" fontId="10" fillId="0" borderId="1" xfId="0" applyFont="1" applyBorder="1"/>
    <xf numFmtId="164" fontId="10" fillId="0" borderId="1" xfId="0" applyNumberFormat="1" applyFont="1" applyBorder="1"/>
    <xf numFmtId="49" fontId="10" fillId="0" borderId="1" xfId="0" applyNumberFormat="1" applyFont="1" applyBorder="1" applyAlignment="1">
      <alignment horizontal="left" vertical="center"/>
    </xf>
    <xf numFmtId="0" fontId="10" fillId="0" borderId="1" xfId="0" applyFont="1" applyFill="1" applyBorder="1"/>
    <xf numFmtId="164" fontId="10" fillId="0" borderId="1" xfId="0" applyNumberFormat="1" applyFont="1" applyBorder="1" applyAlignment="1">
      <alignment horizontal="right" vertical="center"/>
    </xf>
    <xf numFmtId="0" fontId="4" fillId="0" borderId="1" xfId="0" applyNumberFormat="1" applyFont="1" applyFill="1" applyBorder="1" applyAlignment="1">
      <alignment horizontal="right" vertical="center"/>
    </xf>
    <xf numFmtId="164" fontId="10" fillId="0" borderId="1" xfId="0" applyNumberFormat="1" applyFont="1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" xfId="0" applyBorder="1" applyAlignment="1">
      <alignment textRotation="90"/>
    </xf>
    <xf numFmtId="0" fontId="0" fillId="0" borderId="12" xfId="0" applyBorder="1" applyAlignment="1">
      <alignment textRotation="90"/>
    </xf>
    <xf numFmtId="0" fontId="0" fillId="0" borderId="13" xfId="0" applyBorder="1" applyAlignment="1"/>
    <xf numFmtId="0" fontId="0" fillId="0" borderId="14" xfId="0" applyBorder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CCFFFF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57150</xdr:rowOff>
        </xdr:from>
        <xdr:to>
          <xdr:col>5</xdr:col>
          <xdr:colOff>180975</xdr:colOff>
          <xdr:row>0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Library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hipdip.ru/product0/8258530924" TargetMode="External"/><Relationship Id="rId3" Type="http://schemas.openxmlformats.org/officeDocument/2006/relationships/hyperlink" Target="https://www.chipdip.ru/product0/8794351308?from=visited_product" TargetMode="External"/><Relationship Id="rId7" Type="http://schemas.openxmlformats.org/officeDocument/2006/relationships/hyperlink" Target="https://www.chipdip.ru/product/tea1530at?from=suggest_product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www.rezonit.ru/pcb/odnostoronnie-i-dvustoronnie/" TargetMode="External"/><Relationship Id="rId1" Type="http://schemas.openxmlformats.org/officeDocument/2006/relationships/hyperlink" Target="https://www.chipdip.ru/product/gd32e103c8t6-gigadevice" TargetMode="External"/><Relationship Id="rId6" Type="http://schemas.openxmlformats.org/officeDocument/2006/relationships/hyperlink" Target="http://elman.su/production/cords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dvrobot.ru/catalog/mekhanika/motory/bez_reduktorov/16211/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www.rezonit.ru/pcb/odnostoronnie-i-dvustoronnie/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AD192"/>
  <sheetViews>
    <sheetView showGridLines="0" tabSelected="1" zoomScale="90" zoomScaleNormal="90" workbookViewId="0">
      <pane ySplit="3" topLeftCell="A76" activePane="bottomLeft" state="frozen"/>
      <selection pane="bottomLeft" activeCell="AB90" sqref="AB90"/>
    </sheetView>
  </sheetViews>
  <sheetFormatPr defaultRowHeight="15" outlineLevelRow="1" x14ac:dyDescent="0.25"/>
  <cols>
    <col min="1" max="19" width="2.85546875" customWidth="1"/>
    <col min="20" max="20" width="35.140625" customWidth="1"/>
    <col min="21" max="21" width="39.85546875" customWidth="1"/>
    <col min="22" max="22" width="8.28515625" customWidth="1"/>
    <col min="23" max="23" width="3" customWidth="1"/>
    <col min="24" max="24" width="20.28515625" customWidth="1"/>
    <col min="25" max="25" width="9.5703125" style="47" customWidth="1"/>
    <col min="26" max="26" width="6.5703125" style="36" customWidth="1"/>
    <col min="27" max="27" width="11.85546875" style="52" customWidth="1"/>
    <col min="28" max="28" width="13.5703125" customWidth="1"/>
    <col min="29" max="29" width="83.140625" customWidth="1"/>
  </cols>
  <sheetData>
    <row r="1" spans="1:30" ht="32.25" customHeight="1" x14ac:dyDescent="0.25">
      <c r="G1" s="25" t="s">
        <v>14</v>
      </c>
      <c r="U1" s="41" t="s">
        <v>21</v>
      </c>
      <c r="V1" s="42"/>
      <c r="W1" s="42"/>
      <c r="X1" s="42"/>
      <c r="Z1" s="43"/>
      <c r="AA1" s="51"/>
      <c r="AB1" s="42"/>
      <c r="AC1" s="42"/>
    </row>
    <row r="2" spans="1:30" s="5" customFormat="1" ht="15.75" thickBot="1" x14ac:dyDescent="0.3">
      <c r="A2" s="4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>
        <v>16</v>
      </c>
      <c r="Q2" s="4">
        <v>17</v>
      </c>
      <c r="R2" s="4">
        <v>18</v>
      </c>
      <c r="S2" s="4">
        <v>19</v>
      </c>
      <c r="T2" s="4" t="s">
        <v>11</v>
      </c>
      <c r="U2" s="24">
        <f>MaxNumLineTree()</f>
        <v>132</v>
      </c>
      <c r="V2" s="5" t="s">
        <v>7</v>
      </c>
      <c r="W2" s="10"/>
      <c r="Y2" s="47"/>
      <c r="Z2" s="37"/>
      <c r="AA2" s="6"/>
      <c r="AB2" s="6"/>
    </row>
    <row r="3" spans="1:30" s="10" customFormat="1" ht="15.75" thickBot="1" x14ac:dyDescent="0.3">
      <c r="A3" s="63" t="s">
        <v>8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5"/>
      <c r="U3" s="7" t="s">
        <v>0</v>
      </c>
      <c r="V3" s="8" t="s">
        <v>1</v>
      </c>
      <c r="W3" s="8" t="s">
        <v>9</v>
      </c>
      <c r="X3" s="8" t="s">
        <v>2</v>
      </c>
      <c r="Y3" s="8" t="s">
        <v>3</v>
      </c>
      <c r="Z3" s="40" t="s">
        <v>15</v>
      </c>
      <c r="AA3" s="9" t="s">
        <v>6</v>
      </c>
      <c r="AB3" s="9" t="s">
        <v>16</v>
      </c>
      <c r="AC3" s="8" t="s">
        <v>5</v>
      </c>
      <c r="AD3" s="5"/>
    </row>
    <row r="4" spans="1:30" s="5" customFormat="1" x14ac:dyDescent="0.25">
      <c r="A4" s="3" t="s">
        <v>17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2" t="s">
        <v>18</v>
      </c>
      <c r="V4" s="13"/>
      <c r="W4" s="20"/>
      <c r="X4" s="13"/>
      <c r="Y4" s="47"/>
      <c r="Z4" s="38"/>
      <c r="AA4" s="14"/>
      <c r="AB4" s="46">
        <f>SUM(AB5)</f>
        <v>11862.099999999999</v>
      </c>
      <c r="AC4" s="13"/>
    </row>
    <row r="5" spans="1:30" s="11" customFormat="1" x14ac:dyDescent="0.25">
      <c r="A5" s="1" t="s">
        <v>4</v>
      </c>
      <c r="B5" s="3" t="s">
        <v>19</v>
      </c>
      <c r="S5" s="5"/>
      <c r="T5" s="5"/>
      <c r="U5" s="15" t="s">
        <v>20</v>
      </c>
      <c r="V5" s="16">
        <v>1</v>
      </c>
      <c r="W5" s="21" t="s">
        <v>10</v>
      </c>
      <c r="X5" s="15"/>
      <c r="Y5" s="47"/>
      <c r="Z5" s="39"/>
      <c r="AA5" s="17"/>
      <c r="AB5" s="46">
        <f>SUM(AB6:AB145)</f>
        <v>11862.099999999999</v>
      </c>
      <c r="AC5" s="45"/>
      <c r="AD5" s="5"/>
    </row>
    <row r="6" spans="1:30" s="11" customFormat="1" outlineLevel="1" x14ac:dyDescent="0.25">
      <c r="A6" s="1" t="s">
        <v>4</v>
      </c>
      <c r="B6" s="1" t="s">
        <v>4</v>
      </c>
      <c r="C6" s="11" t="s">
        <v>25</v>
      </c>
      <c r="S6" s="5"/>
      <c r="T6" s="5"/>
      <c r="U6" s="15" t="s">
        <v>30</v>
      </c>
      <c r="V6" s="16">
        <v>1</v>
      </c>
      <c r="W6" s="21" t="s">
        <v>10</v>
      </c>
      <c r="X6" s="15" t="s">
        <v>32</v>
      </c>
      <c r="Y6" s="47" t="s">
        <v>31</v>
      </c>
      <c r="Z6" s="39"/>
      <c r="AA6" s="44">
        <v>1750</v>
      </c>
      <c r="AB6" s="17">
        <f t="shared" ref="AB6:AB131" si="0">AA6*V6</f>
        <v>1750</v>
      </c>
      <c r="AC6" s="45"/>
      <c r="AD6" s="5"/>
    </row>
    <row r="7" spans="1:30" s="11" customFormat="1" outlineLevel="1" x14ac:dyDescent="0.25">
      <c r="A7" s="1" t="s">
        <v>4</v>
      </c>
      <c r="B7" s="1" t="s">
        <v>4</v>
      </c>
      <c r="C7" s="11" t="s">
        <v>122</v>
      </c>
      <c r="S7" s="5"/>
      <c r="T7" s="5"/>
      <c r="U7" s="15"/>
      <c r="V7" s="16">
        <v>1</v>
      </c>
      <c r="W7" s="21" t="s">
        <v>10</v>
      </c>
      <c r="X7" s="15" t="s">
        <v>109</v>
      </c>
      <c r="Y7" s="47" t="s">
        <v>107</v>
      </c>
      <c r="Z7" s="39"/>
      <c r="AA7" s="44">
        <v>600</v>
      </c>
      <c r="AB7" s="17">
        <f t="shared" si="0"/>
        <v>600</v>
      </c>
      <c r="AC7" s="45"/>
      <c r="AD7" s="5"/>
    </row>
    <row r="8" spans="1:30" s="11" customFormat="1" outlineLevel="1" x14ac:dyDescent="0.25">
      <c r="A8" s="1" t="s">
        <v>4</v>
      </c>
      <c r="B8" s="1" t="s">
        <v>4</v>
      </c>
      <c r="C8" s="11" t="s">
        <v>120</v>
      </c>
      <c r="S8" s="5"/>
      <c r="T8" s="5"/>
      <c r="U8" s="15" t="s">
        <v>121</v>
      </c>
      <c r="V8" s="16">
        <v>1</v>
      </c>
      <c r="W8" s="21" t="s">
        <v>10</v>
      </c>
      <c r="X8" s="15"/>
      <c r="Y8" s="47" t="s">
        <v>119</v>
      </c>
      <c r="Z8" s="39"/>
      <c r="AA8" s="44">
        <v>53</v>
      </c>
      <c r="AB8" s="17">
        <f t="shared" si="0"/>
        <v>53</v>
      </c>
      <c r="AC8" s="45" t="s">
        <v>108</v>
      </c>
      <c r="AD8" s="5"/>
    </row>
    <row r="9" spans="1:30" s="11" customFormat="1" outlineLevel="1" x14ac:dyDescent="0.25">
      <c r="A9" s="1" t="s">
        <v>4</v>
      </c>
      <c r="B9" s="1" t="s">
        <v>4</v>
      </c>
      <c r="C9" s="11" t="s">
        <v>112</v>
      </c>
      <c r="S9" s="5"/>
      <c r="T9" s="5"/>
      <c r="U9" s="15" t="s">
        <v>113</v>
      </c>
      <c r="V9" s="16">
        <v>1</v>
      </c>
      <c r="W9" s="21" t="s">
        <v>10</v>
      </c>
      <c r="X9" s="15" t="s">
        <v>114</v>
      </c>
      <c r="Y9" s="47" t="s">
        <v>115</v>
      </c>
      <c r="Z9" s="39"/>
      <c r="AA9" s="44">
        <v>76</v>
      </c>
      <c r="AB9" s="17">
        <f t="shared" si="0"/>
        <v>76</v>
      </c>
      <c r="AC9" s="45"/>
      <c r="AD9" s="5"/>
    </row>
    <row r="10" spans="1:30" s="11" customFormat="1" outlineLevel="1" x14ac:dyDescent="0.25">
      <c r="A10" s="1" t="s">
        <v>4</v>
      </c>
      <c r="B10" s="1" t="s">
        <v>4</v>
      </c>
      <c r="C10" s="11" t="s">
        <v>118</v>
      </c>
      <c r="S10" s="5"/>
      <c r="T10" s="5"/>
      <c r="U10" s="15" t="s">
        <v>117</v>
      </c>
      <c r="V10" s="16"/>
      <c r="W10" s="21"/>
      <c r="X10" s="15"/>
      <c r="Y10" s="47" t="s">
        <v>116</v>
      </c>
      <c r="Z10" s="39"/>
      <c r="AA10" s="44"/>
      <c r="AB10" s="17"/>
      <c r="AC10" s="45"/>
      <c r="AD10" s="5"/>
    </row>
    <row r="11" spans="1:30" s="5" customFormat="1" outlineLevel="1" x14ac:dyDescent="0.25">
      <c r="A11" s="1" t="s">
        <v>4</v>
      </c>
      <c r="B11" s="1" t="s">
        <v>4</v>
      </c>
      <c r="C11" s="18" t="s">
        <v>26</v>
      </c>
      <c r="D11" s="11"/>
      <c r="E11" s="11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S11" s="19"/>
      <c r="U11" s="15" t="s">
        <v>27</v>
      </c>
      <c r="V11" s="16">
        <v>1</v>
      </c>
      <c r="W11" s="21" t="s">
        <v>10</v>
      </c>
      <c r="X11" s="16" t="s">
        <v>29</v>
      </c>
      <c r="Y11" s="47" t="s">
        <v>28</v>
      </c>
      <c r="Z11" s="39"/>
      <c r="AA11" s="44">
        <v>170</v>
      </c>
      <c r="AB11" s="17">
        <f t="shared" si="0"/>
        <v>170</v>
      </c>
      <c r="AC11" s="16"/>
    </row>
    <row r="12" spans="1:30" s="5" customFormat="1" outlineLevel="1" x14ac:dyDescent="0.25">
      <c r="A12" s="1" t="s">
        <v>4</v>
      </c>
      <c r="B12" s="1" t="s">
        <v>4</v>
      </c>
      <c r="C12" s="18" t="s">
        <v>165</v>
      </c>
      <c r="D12" s="11"/>
      <c r="E12" s="11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S12" s="19"/>
      <c r="U12" s="15" t="s">
        <v>169</v>
      </c>
      <c r="V12" s="16">
        <v>2</v>
      </c>
      <c r="W12" s="21"/>
      <c r="X12" s="16"/>
      <c r="Y12" s="47"/>
      <c r="Z12" s="39"/>
      <c r="AA12" s="44">
        <v>16</v>
      </c>
      <c r="AB12" s="17">
        <f t="shared" si="0"/>
        <v>32</v>
      </c>
      <c r="AC12" s="16"/>
    </row>
    <row r="13" spans="1:30" s="5" customFormat="1" outlineLevel="1" x14ac:dyDescent="0.25">
      <c r="A13" s="1" t="s">
        <v>4</v>
      </c>
      <c r="B13" s="1" t="s">
        <v>4</v>
      </c>
      <c r="C13" s="18" t="s">
        <v>123</v>
      </c>
      <c r="D13" s="11"/>
      <c r="E13" s="11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S13" s="19"/>
      <c r="U13" s="15" t="s">
        <v>137</v>
      </c>
      <c r="V13" s="16">
        <v>3</v>
      </c>
      <c r="W13" s="21"/>
      <c r="X13" s="16"/>
      <c r="Y13" s="47"/>
      <c r="Z13" s="39"/>
      <c r="AA13" s="44">
        <v>7</v>
      </c>
      <c r="AB13" s="17">
        <f t="shared" si="0"/>
        <v>21</v>
      </c>
      <c r="AC13" s="16"/>
    </row>
    <row r="14" spans="1:30" s="5" customFormat="1" outlineLevel="1" x14ac:dyDescent="0.25">
      <c r="A14" s="1" t="s">
        <v>4</v>
      </c>
      <c r="B14" s="1" t="s">
        <v>4</v>
      </c>
      <c r="C14" s="18" t="s">
        <v>124</v>
      </c>
      <c r="D14" s="11"/>
      <c r="E14" s="11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S14" s="19"/>
      <c r="U14" s="15" t="s">
        <v>138</v>
      </c>
      <c r="V14" s="16">
        <v>22</v>
      </c>
      <c r="W14" s="21"/>
      <c r="X14" s="16"/>
      <c r="Y14" s="47"/>
      <c r="Z14" s="39"/>
      <c r="AA14" s="44">
        <v>0.9</v>
      </c>
      <c r="AB14" s="17">
        <f t="shared" si="0"/>
        <v>19.8</v>
      </c>
      <c r="AC14" s="16"/>
    </row>
    <row r="15" spans="1:30" s="5" customFormat="1" outlineLevel="1" x14ac:dyDescent="0.25">
      <c r="A15" s="1" t="s">
        <v>4</v>
      </c>
      <c r="B15" s="1" t="s">
        <v>4</v>
      </c>
      <c r="C15" s="18" t="s">
        <v>166</v>
      </c>
      <c r="D15" s="11"/>
      <c r="E15" s="11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S15" s="19"/>
      <c r="U15" s="15" t="s">
        <v>170</v>
      </c>
      <c r="V15" s="16">
        <v>1</v>
      </c>
      <c r="W15" s="21"/>
      <c r="X15" s="16"/>
      <c r="Y15" s="47"/>
      <c r="Z15" s="39"/>
      <c r="AA15" s="44">
        <v>160</v>
      </c>
      <c r="AB15" s="17">
        <f t="shared" si="0"/>
        <v>160</v>
      </c>
      <c r="AC15" s="16"/>
    </row>
    <row r="16" spans="1:30" s="5" customFormat="1" outlineLevel="1" x14ac:dyDescent="0.25">
      <c r="A16" s="1" t="s">
        <v>4</v>
      </c>
      <c r="B16" s="1" t="s">
        <v>4</v>
      </c>
      <c r="C16" s="18" t="s">
        <v>167</v>
      </c>
      <c r="D16" s="11"/>
      <c r="E16" s="11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S16" s="19"/>
      <c r="U16" s="15" t="s">
        <v>171</v>
      </c>
      <c r="V16" s="16">
        <v>1</v>
      </c>
      <c r="W16" s="21"/>
      <c r="X16" s="16"/>
      <c r="Y16" s="47"/>
      <c r="Z16" s="39"/>
      <c r="AA16" s="44">
        <v>4</v>
      </c>
      <c r="AB16" s="17">
        <f t="shared" si="0"/>
        <v>4</v>
      </c>
      <c r="AC16" s="16"/>
    </row>
    <row r="17" spans="1:29" s="5" customFormat="1" outlineLevel="1" x14ac:dyDescent="0.25">
      <c r="A17" s="1" t="s">
        <v>4</v>
      </c>
      <c r="B17" s="1" t="s">
        <v>4</v>
      </c>
      <c r="C17" s="18" t="s">
        <v>168</v>
      </c>
      <c r="D17" s="11"/>
      <c r="E17" s="11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S17" s="19"/>
      <c r="U17" s="15" t="s">
        <v>172</v>
      </c>
      <c r="V17" s="16">
        <v>1</v>
      </c>
      <c r="W17" s="21"/>
      <c r="X17" s="16"/>
      <c r="Y17" s="47"/>
      <c r="Z17" s="39"/>
      <c r="AA17" s="44">
        <v>74</v>
      </c>
      <c r="AB17" s="17">
        <f t="shared" si="0"/>
        <v>74</v>
      </c>
      <c r="AC17" s="16"/>
    </row>
    <row r="18" spans="1:29" s="5" customFormat="1" outlineLevel="1" x14ac:dyDescent="0.25">
      <c r="A18" s="1" t="s">
        <v>4</v>
      </c>
      <c r="B18" s="1" t="s">
        <v>4</v>
      </c>
      <c r="C18" s="18" t="s">
        <v>173</v>
      </c>
      <c r="D18" s="11"/>
      <c r="E18" s="11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S18" s="19"/>
      <c r="U18" s="15" t="s">
        <v>238</v>
      </c>
      <c r="V18" s="16">
        <v>1</v>
      </c>
      <c r="W18" s="21"/>
      <c r="X18" s="16"/>
      <c r="Y18" s="47"/>
      <c r="Z18" s="39"/>
      <c r="AA18" s="44">
        <v>6</v>
      </c>
      <c r="AB18" s="17">
        <f t="shared" si="0"/>
        <v>6</v>
      </c>
      <c r="AC18" s="16"/>
    </row>
    <row r="19" spans="1:29" s="5" customFormat="1" outlineLevel="1" x14ac:dyDescent="0.25">
      <c r="A19" s="1" t="s">
        <v>4</v>
      </c>
      <c r="B19" s="1" t="s">
        <v>4</v>
      </c>
      <c r="C19" s="18" t="s">
        <v>174</v>
      </c>
      <c r="D19" s="11"/>
      <c r="E19" s="11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S19" s="19"/>
      <c r="U19" s="15" t="s">
        <v>239</v>
      </c>
      <c r="V19" s="16">
        <v>2</v>
      </c>
      <c r="W19" s="21"/>
      <c r="X19" s="16"/>
      <c r="Y19" s="47"/>
      <c r="Z19" s="39"/>
      <c r="AA19" s="44">
        <v>11</v>
      </c>
      <c r="AB19" s="17">
        <f t="shared" si="0"/>
        <v>22</v>
      </c>
      <c r="AC19" s="16"/>
    </row>
    <row r="20" spans="1:29" s="5" customFormat="1" outlineLevel="1" x14ac:dyDescent="0.25">
      <c r="A20" s="1" t="s">
        <v>4</v>
      </c>
      <c r="B20" s="1" t="s">
        <v>4</v>
      </c>
      <c r="C20" s="18" t="s">
        <v>175</v>
      </c>
      <c r="D20" s="11"/>
      <c r="E20" s="11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S20" s="19"/>
      <c r="U20" s="15" t="s">
        <v>240</v>
      </c>
      <c r="V20" s="16">
        <v>3</v>
      </c>
      <c r="W20" s="21"/>
      <c r="X20" s="16"/>
      <c r="Y20" s="47"/>
      <c r="Z20" s="39"/>
      <c r="AA20" s="44">
        <v>4</v>
      </c>
      <c r="AB20" s="17">
        <f t="shared" si="0"/>
        <v>12</v>
      </c>
      <c r="AC20" s="16"/>
    </row>
    <row r="21" spans="1:29" s="5" customFormat="1" outlineLevel="1" x14ac:dyDescent="0.25">
      <c r="A21" s="1" t="s">
        <v>4</v>
      </c>
      <c r="B21" s="1" t="s">
        <v>4</v>
      </c>
      <c r="C21" s="18" t="s">
        <v>176</v>
      </c>
      <c r="D21" s="11"/>
      <c r="E21" s="11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S21" s="19"/>
      <c r="U21" s="15" t="s">
        <v>241</v>
      </c>
      <c r="V21" s="16">
        <v>2</v>
      </c>
      <c r="W21" s="21"/>
      <c r="X21" s="16"/>
      <c r="Y21" s="47"/>
      <c r="Z21" s="39"/>
      <c r="AA21" s="44">
        <v>13</v>
      </c>
      <c r="AB21" s="17">
        <f t="shared" si="0"/>
        <v>26</v>
      </c>
      <c r="AC21" s="16"/>
    </row>
    <row r="22" spans="1:29" s="5" customFormat="1" outlineLevel="1" x14ac:dyDescent="0.25">
      <c r="A22" s="1" t="s">
        <v>4</v>
      </c>
      <c r="B22" s="1" t="s">
        <v>4</v>
      </c>
      <c r="C22" s="18" t="s">
        <v>177</v>
      </c>
      <c r="D22" s="11"/>
      <c r="E22" s="11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S22" s="19"/>
      <c r="U22" s="15" t="s">
        <v>242</v>
      </c>
      <c r="V22" s="16">
        <v>1</v>
      </c>
      <c r="W22" s="21"/>
      <c r="X22" s="16"/>
      <c r="Y22" s="47"/>
      <c r="Z22" s="39"/>
      <c r="AA22" s="44">
        <v>15</v>
      </c>
      <c r="AB22" s="17">
        <f t="shared" si="0"/>
        <v>15</v>
      </c>
      <c r="AC22" s="16"/>
    </row>
    <row r="23" spans="1:29" s="5" customFormat="1" outlineLevel="1" x14ac:dyDescent="0.25">
      <c r="A23" s="1" t="s">
        <v>4</v>
      </c>
      <c r="B23" s="1" t="s">
        <v>4</v>
      </c>
      <c r="C23" s="18" t="s">
        <v>178</v>
      </c>
      <c r="D23" s="11"/>
      <c r="E23" s="11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S23" s="19"/>
      <c r="U23" s="15" t="s">
        <v>243</v>
      </c>
      <c r="V23" s="16">
        <v>2</v>
      </c>
      <c r="W23" s="21"/>
      <c r="X23" s="16"/>
      <c r="Y23" s="47"/>
      <c r="Z23" s="39"/>
      <c r="AA23" s="44">
        <v>33</v>
      </c>
      <c r="AB23" s="17">
        <f t="shared" si="0"/>
        <v>66</v>
      </c>
      <c r="AC23" s="16"/>
    </row>
    <row r="24" spans="1:29" s="5" customFormat="1" outlineLevel="1" x14ac:dyDescent="0.25">
      <c r="A24" s="1" t="s">
        <v>4</v>
      </c>
      <c r="B24" s="1" t="s">
        <v>4</v>
      </c>
      <c r="C24" s="18" t="s">
        <v>179</v>
      </c>
      <c r="D24" s="11"/>
      <c r="E24" s="11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S24" s="19"/>
      <c r="U24" s="15" t="s">
        <v>244</v>
      </c>
      <c r="V24" s="16">
        <v>2</v>
      </c>
      <c r="W24" s="21"/>
      <c r="X24" s="16"/>
      <c r="Y24" s="47"/>
      <c r="Z24" s="39"/>
      <c r="AA24" s="44">
        <v>24</v>
      </c>
      <c r="AB24" s="17">
        <f t="shared" si="0"/>
        <v>48</v>
      </c>
      <c r="AC24" s="16"/>
    </row>
    <row r="25" spans="1:29" s="5" customFormat="1" outlineLevel="1" x14ac:dyDescent="0.25">
      <c r="A25" s="1" t="s">
        <v>4</v>
      </c>
      <c r="B25" s="1" t="s">
        <v>4</v>
      </c>
      <c r="C25" s="18" t="s">
        <v>180</v>
      </c>
      <c r="D25" s="11"/>
      <c r="E25" s="11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S25" s="19"/>
      <c r="U25" s="15" t="s">
        <v>245</v>
      </c>
      <c r="V25" s="16">
        <v>2</v>
      </c>
      <c r="W25" s="21"/>
      <c r="X25" s="16"/>
      <c r="Y25" s="47"/>
      <c r="Z25" s="39"/>
      <c r="AA25" s="44">
        <v>43</v>
      </c>
      <c r="AB25" s="17">
        <f t="shared" si="0"/>
        <v>86</v>
      </c>
      <c r="AC25" s="16"/>
    </row>
    <row r="26" spans="1:29" s="5" customFormat="1" outlineLevel="1" x14ac:dyDescent="0.25">
      <c r="A26" s="1" t="s">
        <v>4</v>
      </c>
      <c r="B26" s="1" t="s">
        <v>4</v>
      </c>
      <c r="C26" s="18" t="s">
        <v>181</v>
      </c>
      <c r="D26" s="11"/>
      <c r="E26" s="11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S26" s="19"/>
      <c r="U26" s="15" t="s">
        <v>246</v>
      </c>
      <c r="V26" s="16">
        <v>2</v>
      </c>
      <c r="W26" s="21"/>
      <c r="X26" s="16"/>
      <c r="Y26" s="47"/>
      <c r="Z26" s="39"/>
      <c r="AA26" s="44">
        <v>20</v>
      </c>
      <c r="AB26" s="17">
        <f t="shared" si="0"/>
        <v>40</v>
      </c>
      <c r="AC26" s="16"/>
    </row>
    <row r="27" spans="1:29" s="5" customFormat="1" outlineLevel="1" x14ac:dyDescent="0.25">
      <c r="A27" s="1" t="s">
        <v>4</v>
      </c>
      <c r="B27" s="1" t="s">
        <v>4</v>
      </c>
      <c r="C27" s="18" t="s">
        <v>182</v>
      </c>
      <c r="D27" s="11"/>
      <c r="E27" s="11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S27" s="19"/>
      <c r="U27" s="15" t="s">
        <v>247</v>
      </c>
      <c r="V27" s="16">
        <v>1</v>
      </c>
      <c r="W27" s="21"/>
      <c r="X27" s="16"/>
      <c r="Y27" s="47"/>
      <c r="Z27" s="39"/>
      <c r="AA27" s="44">
        <v>4</v>
      </c>
      <c r="AB27" s="17">
        <f t="shared" si="0"/>
        <v>4</v>
      </c>
      <c r="AC27" s="16"/>
    </row>
    <row r="28" spans="1:29" s="5" customFormat="1" outlineLevel="1" x14ac:dyDescent="0.25">
      <c r="A28" s="1" t="s">
        <v>4</v>
      </c>
      <c r="B28" s="1" t="s">
        <v>4</v>
      </c>
      <c r="C28" s="18" t="s">
        <v>183</v>
      </c>
      <c r="D28" s="11"/>
      <c r="E28" s="11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S28" s="19"/>
      <c r="U28" s="15" t="s">
        <v>248</v>
      </c>
      <c r="V28" s="16">
        <v>2</v>
      </c>
      <c r="W28" s="21"/>
      <c r="X28" s="16"/>
      <c r="Y28" s="47"/>
      <c r="Z28" s="39"/>
      <c r="AA28" s="44">
        <v>4</v>
      </c>
      <c r="AB28" s="17">
        <f t="shared" si="0"/>
        <v>8</v>
      </c>
      <c r="AC28" s="16"/>
    </row>
    <row r="29" spans="1:29" s="5" customFormat="1" outlineLevel="1" x14ac:dyDescent="0.25">
      <c r="A29" s="1" t="s">
        <v>4</v>
      </c>
      <c r="B29" s="1" t="s">
        <v>4</v>
      </c>
      <c r="C29" s="18" t="s">
        <v>184</v>
      </c>
      <c r="D29" s="11"/>
      <c r="E29" s="11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S29" s="19"/>
      <c r="U29" s="15" t="s">
        <v>249</v>
      </c>
      <c r="V29" s="16">
        <v>2</v>
      </c>
      <c r="W29" s="21"/>
      <c r="X29" s="16"/>
      <c r="Y29" s="47"/>
      <c r="Z29" s="39"/>
      <c r="AA29" s="44">
        <v>4</v>
      </c>
      <c r="AB29" s="17">
        <f t="shared" si="0"/>
        <v>8</v>
      </c>
      <c r="AC29" s="16"/>
    </row>
    <row r="30" spans="1:29" s="5" customFormat="1" outlineLevel="1" x14ac:dyDescent="0.25">
      <c r="A30" s="1" t="s">
        <v>4</v>
      </c>
      <c r="B30" s="1" t="s">
        <v>4</v>
      </c>
      <c r="C30" s="18" t="s">
        <v>185</v>
      </c>
      <c r="D30" s="11"/>
      <c r="E30" s="11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S30" s="19"/>
      <c r="U30" s="15" t="s">
        <v>250</v>
      </c>
      <c r="V30" s="16">
        <v>1</v>
      </c>
      <c r="W30" s="21"/>
      <c r="X30" s="16"/>
      <c r="Y30" s="47"/>
      <c r="Z30" s="39"/>
      <c r="AA30" s="44">
        <v>310</v>
      </c>
      <c r="AB30" s="17">
        <f t="shared" si="0"/>
        <v>310</v>
      </c>
      <c r="AC30" s="16"/>
    </row>
    <row r="31" spans="1:29" s="5" customFormat="1" outlineLevel="1" x14ac:dyDescent="0.25">
      <c r="A31" s="1" t="s">
        <v>4</v>
      </c>
      <c r="B31" s="1" t="s">
        <v>4</v>
      </c>
      <c r="C31" s="18" t="s">
        <v>186</v>
      </c>
      <c r="D31" s="11"/>
      <c r="E31" s="11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S31" s="19"/>
      <c r="U31" s="15" t="s">
        <v>251</v>
      </c>
      <c r="V31" s="16">
        <v>2</v>
      </c>
      <c r="W31" s="21"/>
      <c r="X31" s="16"/>
      <c r="Y31" s="47"/>
      <c r="Z31" s="39"/>
      <c r="AA31" s="44">
        <v>68</v>
      </c>
      <c r="AB31" s="17">
        <f t="shared" si="0"/>
        <v>136</v>
      </c>
      <c r="AC31" s="16"/>
    </row>
    <row r="32" spans="1:29" s="5" customFormat="1" outlineLevel="1" x14ac:dyDescent="0.25">
      <c r="A32" s="1" t="s">
        <v>4</v>
      </c>
      <c r="B32" s="1" t="s">
        <v>4</v>
      </c>
      <c r="C32" s="18" t="s">
        <v>187</v>
      </c>
      <c r="D32" s="11"/>
      <c r="E32" s="11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S32" s="19"/>
      <c r="U32" s="15" t="s">
        <v>252</v>
      </c>
      <c r="V32" s="16">
        <v>1</v>
      </c>
      <c r="W32" s="21"/>
      <c r="X32" s="16"/>
      <c r="Y32" s="47"/>
      <c r="Z32" s="39"/>
      <c r="AA32" s="44">
        <v>99</v>
      </c>
      <c r="AB32" s="17">
        <f t="shared" si="0"/>
        <v>99</v>
      </c>
      <c r="AC32" s="16"/>
    </row>
    <row r="33" spans="1:29" s="5" customFormat="1" outlineLevel="1" x14ac:dyDescent="0.25">
      <c r="A33" s="1" t="s">
        <v>4</v>
      </c>
      <c r="B33" s="1" t="s">
        <v>4</v>
      </c>
      <c r="C33" s="18" t="s">
        <v>188</v>
      </c>
      <c r="D33" s="11"/>
      <c r="E33" s="11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S33" s="19"/>
      <c r="U33" s="15" t="s">
        <v>253</v>
      </c>
      <c r="V33" s="16">
        <v>1</v>
      </c>
      <c r="W33" s="21"/>
      <c r="X33" s="16"/>
      <c r="Y33" s="47"/>
      <c r="Z33" s="39"/>
      <c r="AA33" s="44">
        <v>76</v>
      </c>
      <c r="AB33" s="17">
        <f t="shared" si="0"/>
        <v>76</v>
      </c>
      <c r="AC33" s="16"/>
    </row>
    <row r="34" spans="1:29" s="5" customFormat="1" outlineLevel="1" x14ac:dyDescent="0.25">
      <c r="A34" s="1" t="s">
        <v>4</v>
      </c>
      <c r="B34" s="1" t="s">
        <v>4</v>
      </c>
      <c r="C34" s="18" t="s">
        <v>26</v>
      </c>
      <c r="D34" s="11"/>
      <c r="E34" s="11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S34" s="19"/>
      <c r="U34" s="15" t="s">
        <v>27</v>
      </c>
      <c r="V34" s="16">
        <v>1</v>
      </c>
      <c r="W34" s="21"/>
      <c r="X34" s="16"/>
      <c r="Y34" s="47"/>
      <c r="Z34" s="39"/>
      <c r="AA34" s="44">
        <v>170</v>
      </c>
      <c r="AB34" s="17">
        <f t="shared" si="0"/>
        <v>170</v>
      </c>
      <c r="AC34" s="16"/>
    </row>
    <row r="35" spans="1:29" s="5" customFormat="1" outlineLevel="1" x14ac:dyDescent="0.25">
      <c r="A35" s="1" t="s">
        <v>4</v>
      </c>
      <c r="B35" s="1" t="s">
        <v>4</v>
      </c>
      <c r="C35" s="18" t="s">
        <v>189</v>
      </c>
      <c r="D35" s="11"/>
      <c r="E35" s="11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S35" s="19"/>
      <c r="U35" s="15" t="s">
        <v>254</v>
      </c>
      <c r="V35" s="16">
        <v>1</v>
      </c>
      <c r="W35" s="21"/>
      <c r="X35" s="16"/>
      <c r="Y35" s="47"/>
      <c r="Z35" s="39"/>
      <c r="AA35" s="44">
        <v>180</v>
      </c>
      <c r="AB35" s="17">
        <f t="shared" si="0"/>
        <v>180</v>
      </c>
      <c r="AC35" s="16"/>
    </row>
    <row r="36" spans="1:29" s="5" customFormat="1" outlineLevel="1" x14ac:dyDescent="0.25">
      <c r="A36" s="1" t="s">
        <v>4</v>
      </c>
      <c r="B36" s="1" t="s">
        <v>4</v>
      </c>
      <c r="C36" s="18" t="s">
        <v>190</v>
      </c>
      <c r="D36" s="11"/>
      <c r="E36" s="11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S36" s="19"/>
      <c r="U36" s="15" t="s">
        <v>255</v>
      </c>
      <c r="V36" s="16">
        <v>1</v>
      </c>
      <c r="W36" s="21"/>
      <c r="X36" s="16"/>
      <c r="Y36" s="47"/>
      <c r="Z36" s="39"/>
      <c r="AA36" s="44">
        <v>45</v>
      </c>
      <c r="AB36" s="17">
        <f t="shared" si="0"/>
        <v>45</v>
      </c>
      <c r="AC36" s="16"/>
    </row>
    <row r="37" spans="1:29" s="5" customFormat="1" outlineLevel="1" x14ac:dyDescent="0.25">
      <c r="A37" s="1" t="s">
        <v>4</v>
      </c>
      <c r="B37" s="1" t="s">
        <v>4</v>
      </c>
      <c r="C37" s="18" t="s">
        <v>191</v>
      </c>
      <c r="D37" s="11"/>
      <c r="E37" s="11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S37" s="19"/>
      <c r="U37" s="15" t="s">
        <v>256</v>
      </c>
      <c r="V37" s="16">
        <v>1</v>
      </c>
      <c r="W37" s="21"/>
      <c r="X37" s="16"/>
      <c r="Y37" s="47"/>
      <c r="Z37" s="39"/>
      <c r="AA37" s="44">
        <v>15</v>
      </c>
      <c r="AB37" s="17">
        <f t="shared" si="0"/>
        <v>15</v>
      </c>
      <c r="AC37" s="16"/>
    </row>
    <row r="38" spans="1:29" s="5" customFormat="1" outlineLevel="1" x14ac:dyDescent="0.25">
      <c r="A38" s="1" t="s">
        <v>4</v>
      </c>
      <c r="B38" s="1" t="s">
        <v>4</v>
      </c>
      <c r="C38" s="18" t="s">
        <v>192</v>
      </c>
      <c r="D38" s="11"/>
      <c r="E38" s="11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S38" s="19"/>
      <c r="U38" s="15" t="s">
        <v>257</v>
      </c>
      <c r="V38" s="16">
        <v>1</v>
      </c>
      <c r="W38" s="21"/>
      <c r="X38" s="16"/>
      <c r="Y38" s="47"/>
      <c r="Z38" s="39"/>
      <c r="AA38" s="44">
        <v>4</v>
      </c>
      <c r="AB38" s="17">
        <f t="shared" si="0"/>
        <v>4</v>
      </c>
      <c r="AC38" s="16"/>
    </row>
    <row r="39" spans="1:29" s="5" customFormat="1" outlineLevel="1" x14ac:dyDescent="0.25">
      <c r="A39" s="1" t="s">
        <v>4</v>
      </c>
      <c r="B39" s="1" t="s">
        <v>4</v>
      </c>
      <c r="C39" s="18" t="s">
        <v>193</v>
      </c>
      <c r="D39" s="11"/>
      <c r="E39" s="11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S39" s="19"/>
      <c r="U39" s="15" t="s">
        <v>258</v>
      </c>
      <c r="V39" s="16">
        <v>2</v>
      </c>
      <c r="W39" s="21"/>
      <c r="X39" s="16"/>
      <c r="Y39" s="47"/>
      <c r="Z39" s="39"/>
      <c r="AA39" s="44">
        <v>4</v>
      </c>
      <c r="AB39" s="17">
        <f t="shared" si="0"/>
        <v>8</v>
      </c>
      <c r="AC39" s="16"/>
    </row>
    <row r="40" spans="1:29" s="5" customFormat="1" outlineLevel="1" x14ac:dyDescent="0.25">
      <c r="A40" s="1" t="s">
        <v>4</v>
      </c>
      <c r="B40" s="1" t="s">
        <v>4</v>
      </c>
      <c r="C40" s="18" t="s">
        <v>194</v>
      </c>
      <c r="D40" s="11"/>
      <c r="E40" s="11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S40" s="19"/>
      <c r="U40" s="15" t="s">
        <v>259</v>
      </c>
      <c r="V40" s="16">
        <v>2</v>
      </c>
      <c r="W40" s="21"/>
      <c r="X40" s="16"/>
      <c r="Y40" s="47"/>
      <c r="Z40" s="39"/>
      <c r="AA40" s="44">
        <v>4</v>
      </c>
      <c r="AB40" s="17">
        <f t="shared" si="0"/>
        <v>8</v>
      </c>
      <c r="AC40" s="16"/>
    </row>
    <row r="41" spans="1:29" s="5" customFormat="1" outlineLevel="1" x14ac:dyDescent="0.25">
      <c r="A41" s="1" t="s">
        <v>4</v>
      </c>
      <c r="B41" s="1" t="s">
        <v>4</v>
      </c>
      <c r="C41" s="18" t="s">
        <v>128</v>
      </c>
      <c r="D41" s="11"/>
      <c r="E41" s="11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S41" s="19"/>
      <c r="U41" s="15" t="s">
        <v>142</v>
      </c>
      <c r="V41" s="16">
        <v>4</v>
      </c>
      <c r="W41" s="21"/>
      <c r="X41" s="16"/>
      <c r="Y41" s="47"/>
      <c r="Z41" s="39"/>
      <c r="AA41" s="44">
        <v>5</v>
      </c>
      <c r="AB41" s="17">
        <f t="shared" si="0"/>
        <v>20</v>
      </c>
      <c r="AC41" s="16"/>
    </row>
    <row r="42" spans="1:29" s="5" customFormat="1" outlineLevel="1" x14ac:dyDescent="0.25">
      <c r="A42" s="1" t="s">
        <v>4</v>
      </c>
      <c r="B42" s="1" t="s">
        <v>4</v>
      </c>
      <c r="C42" s="18" t="s">
        <v>195</v>
      </c>
      <c r="D42" s="11"/>
      <c r="E42" s="11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S42" s="19"/>
      <c r="U42" s="15" t="s">
        <v>260</v>
      </c>
      <c r="V42" s="16">
        <v>4</v>
      </c>
      <c r="W42" s="21"/>
      <c r="X42" s="16"/>
      <c r="Y42" s="47"/>
      <c r="Z42" s="39"/>
      <c r="AA42" s="44">
        <v>5</v>
      </c>
      <c r="AB42" s="17">
        <f t="shared" si="0"/>
        <v>20</v>
      </c>
      <c r="AC42" s="16"/>
    </row>
    <row r="43" spans="1:29" s="5" customFormat="1" outlineLevel="1" x14ac:dyDescent="0.25">
      <c r="A43" s="1" t="s">
        <v>4</v>
      </c>
      <c r="B43" s="1" t="s">
        <v>4</v>
      </c>
      <c r="C43" s="18" t="s">
        <v>196</v>
      </c>
      <c r="D43" s="11"/>
      <c r="E43" s="11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S43" s="19"/>
      <c r="U43" s="15" t="s">
        <v>261</v>
      </c>
      <c r="V43" s="16">
        <v>2</v>
      </c>
      <c r="W43" s="21"/>
      <c r="X43" s="16"/>
      <c r="Y43" s="47"/>
      <c r="Z43" s="39"/>
      <c r="AA43" s="44">
        <v>19</v>
      </c>
      <c r="AB43" s="17">
        <f t="shared" si="0"/>
        <v>38</v>
      </c>
      <c r="AC43" s="16"/>
    </row>
    <row r="44" spans="1:29" s="5" customFormat="1" outlineLevel="1" x14ac:dyDescent="0.25">
      <c r="A44" s="1" t="s">
        <v>4</v>
      </c>
      <c r="B44" s="1" t="s">
        <v>4</v>
      </c>
      <c r="C44" s="18" t="s">
        <v>131</v>
      </c>
      <c r="D44" s="11"/>
      <c r="E44" s="11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S44" s="19"/>
      <c r="U44" s="15" t="s">
        <v>145</v>
      </c>
      <c r="V44" s="16">
        <v>1</v>
      </c>
      <c r="W44" s="21"/>
      <c r="X44" s="16"/>
      <c r="Y44" s="47"/>
      <c r="Z44" s="39"/>
      <c r="AA44" s="44">
        <v>4</v>
      </c>
      <c r="AB44" s="17">
        <f t="shared" si="0"/>
        <v>4</v>
      </c>
      <c r="AC44" s="16"/>
    </row>
    <row r="45" spans="1:29" s="5" customFormat="1" outlineLevel="1" x14ac:dyDescent="0.25">
      <c r="A45" s="1" t="s">
        <v>4</v>
      </c>
      <c r="B45" s="1" t="s">
        <v>4</v>
      </c>
      <c r="C45" s="18" t="s">
        <v>197</v>
      </c>
      <c r="D45" s="11"/>
      <c r="E45" s="11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S45" s="19"/>
      <c r="U45" s="15" t="s">
        <v>262</v>
      </c>
      <c r="V45" s="16">
        <v>2</v>
      </c>
      <c r="W45" s="21"/>
      <c r="X45" s="16"/>
      <c r="Y45" s="47"/>
      <c r="Z45" s="39"/>
      <c r="AA45" s="44">
        <v>5</v>
      </c>
      <c r="AB45" s="17">
        <f t="shared" si="0"/>
        <v>10</v>
      </c>
      <c r="AC45" s="16"/>
    </row>
    <row r="46" spans="1:29" s="5" customFormat="1" outlineLevel="1" x14ac:dyDescent="0.25">
      <c r="A46" s="1" t="s">
        <v>4</v>
      </c>
      <c r="B46" s="1" t="s">
        <v>4</v>
      </c>
      <c r="C46" s="18" t="s">
        <v>198</v>
      </c>
      <c r="D46" s="11"/>
      <c r="E46" s="11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S46" s="19"/>
      <c r="U46" s="15" t="s">
        <v>263</v>
      </c>
      <c r="V46" s="16">
        <v>2</v>
      </c>
      <c r="W46" s="21"/>
      <c r="X46" s="16"/>
      <c r="Y46" s="47"/>
      <c r="Z46" s="39"/>
      <c r="AA46" s="44">
        <v>12</v>
      </c>
      <c r="AB46" s="17">
        <f t="shared" si="0"/>
        <v>24</v>
      </c>
      <c r="AC46" s="16"/>
    </row>
    <row r="47" spans="1:29" s="5" customFormat="1" outlineLevel="1" x14ac:dyDescent="0.25">
      <c r="A47" s="1" t="s">
        <v>4</v>
      </c>
      <c r="B47" s="1" t="s">
        <v>4</v>
      </c>
      <c r="C47" s="18" t="s">
        <v>199</v>
      </c>
      <c r="D47" s="11"/>
      <c r="E47" s="11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S47" s="19"/>
      <c r="U47" s="15" t="s">
        <v>264</v>
      </c>
      <c r="V47" s="16">
        <v>1</v>
      </c>
      <c r="W47" s="21"/>
      <c r="X47" s="16"/>
      <c r="Y47" s="47"/>
      <c r="Z47" s="39"/>
      <c r="AA47" s="44">
        <v>0.2</v>
      </c>
      <c r="AB47" s="17">
        <f t="shared" si="0"/>
        <v>0.2</v>
      </c>
      <c r="AC47" s="16"/>
    </row>
    <row r="48" spans="1:29" s="5" customFormat="1" outlineLevel="1" x14ac:dyDescent="0.25">
      <c r="A48" s="1" t="s">
        <v>4</v>
      </c>
      <c r="B48" s="1" t="s">
        <v>4</v>
      </c>
      <c r="C48" s="18" t="s">
        <v>200</v>
      </c>
      <c r="D48" s="11"/>
      <c r="E48" s="11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S48" s="19"/>
      <c r="U48" s="15" t="s">
        <v>265</v>
      </c>
      <c r="V48" s="16">
        <v>2</v>
      </c>
      <c r="W48" s="21"/>
      <c r="X48" s="16"/>
      <c r="Y48" s="47"/>
      <c r="Z48" s="39"/>
      <c r="AA48" s="44">
        <v>6</v>
      </c>
      <c r="AB48" s="17">
        <f t="shared" si="0"/>
        <v>12</v>
      </c>
      <c r="AC48" s="16"/>
    </row>
    <row r="49" spans="1:29" s="5" customFormat="1" outlineLevel="1" x14ac:dyDescent="0.25">
      <c r="A49" s="1" t="s">
        <v>4</v>
      </c>
      <c r="B49" s="1" t="s">
        <v>4</v>
      </c>
      <c r="C49" s="18" t="s">
        <v>201</v>
      </c>
      <c r="D49" s="11"/>
      <c r="E49" s="11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S49" s="19"/>
      <c r="U49" s="15" t="s">
        <v>266</v>
      </c>
      <c r="V49" s="16">
        <v>2</v>
      </c>
      <c r="W49" s="21"/>
      <c r="X49" s="16"/>
      <c r="Y49" s="47"/>
      <c r="Z49" s="39"/>
      <c r="AA49" s="44">
        <v>3</v>
      </c>
      <c r="AB49" s="17">
        <f t="shared" si="0"/>
        <v>6</v>
      </c>
      <c r="AC49" s="16"/>
    </row>
    <row r="50" spans="1:29" s="5" customFormat="1" outlineLevel="1" x14ac:dyDescent="0.25">
      <c r="A50" s="1" t="s">
        <v>4</v>
      </c>
      <c r="B50" s="1" t="s">
        <v>4</v>
      </c>
      <c r="C50" s="18" t="s">
        <v>202</v>
      </c>
      <c r="D50" s="11"/>
      <c r="E50" s="11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S50" s="19"/>
      <c r="U50" s="15" t="s">
        <v>267</v>
      </c>
      <c r="V50" s="16">
        <v>1</v>
      </c>
      <c r="W50" s="21"/>
      <c r="X50" s="16"/>
      <c r="Y50" s="47"/>
      <c r="Z50" s="39"/>
      <c r="AA50" s="44">
        <v>5</v>
      </c>
      <c r="AB50" s="17">
        <f t="shared" si="0"/>
        <v>5</v>
      </c>
      <c r="AC50" s="16"/>
    </row>
    <row r="51" spans="1:29" s="5" customFormat="1" outlineLevel="1" x14ac:dyDescent="0.25">
      <c r="A51" s="1" t="s">
        <v>4</v>
      </c>
      <c r="B51" s="1" t="s">
        <v>4</v>
      </c>
      <c r="C51" s="18" t="s">
        <v>203</v>
      </c>
      <c r="D51" s="11"/>
      <c r="E51" s="11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S51" s="19"/>
      <c r="U51" s="15" t="s">
        <v>268</v>
      </c>
      <c r="V51" s="16">
        <v>1</v>
      </c>
      <c r="W51" s="21"/>
      <c r="X51" s="16"/>
      <c r="Y51" s="47"/>
      <c r="Z51" s="39"/>
      <c r="AA51" s="44">
        <v>0.3</v>
      </c>
      <c r="AB51" s="17">
        <f t="shared" si="0"/>
        <v>0.3</v>
      </c>
      <c r="AC51" s="16"/>
    </row>
    <row r="52" spans="1:29" s="5" customFormat="1" outlineLevel="1" x14ac:dyDescent="0.25">
      <c r="A52" s="1" t="s">
        <v>4</v>
      </c>
      <c r="B52" s="1" t="s">
        <v>4</v>
      </c>
      <c r="C52" s="18" t="s">
        <v>204</v>
      </c>
      <c r="D52" s="11"/>
      <c r="E52" s="11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S52" s="19"/>
      <c r="U52" s="15" t="s">
        <v>269</v>
      </c>
      <c r="V52" s="16">
        <v>1</v>
      </c>
      <c r="W52" s="21"/>
      <c r="X52" s="16"/>
      <c r="Y52" s="47"/>
      <c r="Z52" s="39"/>
      <c r="AA52" s="44">
        <v>0.2</v>
      </c>
      <c r="AB52" s="17">
        <f t="shared" si="0"/>
        <v>0.2</v>
      </c>
      <c r="AC52" s="16"/>
    </row>
    <row r="53" spans="1:29" s="5" customFormat="1" outlineLevel="1" x14ac:dyDescent="0.25">
      <c r="A53" s="1" t="s">
        <v>4</v>
      </c>
      <c r="B53" s="1" t="s">
        <v>4</v>
      </c>
      <c r="C53" s="18" t="s">
        <v>205</v>
      </c>
      <c r="D53" s="11"/>
      <c r="E53" s="11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S53" s="19"/>
      <c r="U53" s="15" t="s">
        <v>270</v>
      </c>
      <c r="V53" s="16">
        <v>1</v>
      </c>
      <c r="W53" s="21"/>
      <c r="X53" s="16"/>
      <c r="Y53" s="47"/>
      <c r="Z53" s="39"/>
      <c r="AA53" s="44">
        <v>41</v>
      </c>
      <c r="AB53" s="17">
        <f t="shared" si="0"/>
        <v>41</v>
      </c>
      <c r="AC53" s="16"/>
    </row>
    <row r="54" spans="1:29" s="5" customFormat="1" outlineLevel="1" x14ac:dyDescent="0.25">
      <c r="A54" s="1" t="s">
        <v>4</v>
      </c>
      <c r="B54" s="1" t="s">
        <v>4</v>
      </c>
      <c r="C54" s="18" t="s">
        <v>206</v>
      </c>
      <c r="D54" s="11"/>
      <c r="E54" s="11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S54" s="19"/>
      <c r="U54" s="15" t="s">
        <v>271</v>
      </c>
      <c r="V54" s="16">
        <v>1</v>
      </c>
      <c r="W54" s="21"/>
      <c r="X54" s="16"/>
      <c r="Y54" s="47"/>
      <c r="Z54" s="39"/>
      <c r="AA54" s="44">
        <v>6</v>
      </c>
      <c r="AB54" s="17">
        <f t="shared" si="0"/>
        <v>6</v>
      </c>
      <c r="AC54" s="16"/>
    </row>
    <row r="55" spans="1:29" s="5" customFormat="1" outlineLevel="1" x14ac:dyDescent="0.25">
      <c r="A55" s="1" t="s">
        <v>4</v>
      </c>
      <c r="B55" s="1" t="s">
        <v>4</v>
      </c>
      <c r="C55" s="18" t="s">
        <v>207</v>
      </c>
      <c r="D55" s="11"/>
      <c r="E55" s="11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S55" s="19"/>
      <c r="U55" s="15" t="s">
        <v>272</v>
      </c>
      <c r="V55" s="16">
        <v>1</v>
      </c>
      <c r="W55" s="21"/>
      <c r="X55" s="16"/>
      <c r="Y55" s="47"/>
      <c r="Z55" s="39"/>
      <c r="AA55" s="44">
        <v>0.2</v>
      </c>
      <c r="AB55" s="17">
        <f t="shared" si="0"/>
        <v>0.2</v>
      </c>
      <c r="AC55" s="16"/>
    </row>
    <row r="56" spans="1:29" s="5" customFormat="1" outlineLevel="1" x14ac:dyDescent="0.25">
      <c r="A56" s="1" t="s">
        <v>4</v>
      </c>
      <c r="B56" s="1" t="s">
        <v>4</v>
      </c>
      <c r="C56" s="18" t="s">
        <v>208</v>
      </c>
      <c r="D56" s="11"/>
      <c r="E56" s="11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S56" s="19"/>
      <c r="U56" s="15" t="s">
        <v>273</v>
      </c>
      <c r="V56" s="16">
        <v>1</v>
      </c>
      <c r="W56" s="21"/>
      <c r="X56" s="16"/>
      <c r="Y56" s="47"/>
      <c r="Z56" s="39"/>
      <c r="AA56" s="44">
        <v>5</v>
      </c>
      <c r="AB56" s="17">
        <f t="shared" si="0"/>
        <v>5</v>
      </c>
      <c r="AC56" s="16"/>
    </row>
    <row r="57" spans="1:29" s="5" customFormat="1" outlineLevel="1" x14ac:dyDescent="0.25">
      <c r="A57" s="1" t="s">
        <v>4</v>
      </c>
      <c r="B57" s="1" t="s">
        <v>4</v>
      </c>
      <c r="C57" s="18" t="s">
        <v>209</v>
      </c>
      <c r="D57" s="11"/>
      <c r="E57" s="11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19"/>
      <c r="U57" s="15" t="s">
        <v>274</v>
      </c>
      <c r="V57" s="16">
        <v>1</v>
      </c>
      <c r="W57" s="21"/>
      <c r="X57" s="16"/>
      <c r="Y57" s="47"/>
      <c r="Z57" s="39"/>
      <c r="AA57" s="44">
        <v>5</v>
      </c>
      <c r="AB57" s="17">
        <f t="shared" si="0"/>
        <v>5</v>
      </c>
      <c r="AC57" s="16"/>
    </row>
    <row r="58" spans="1:29" s="5" customFormat="1" outlineLevel="1" x14ac:dyDescent="0.25">
      <c r="A58" s="1" t="s">
        <v>4</v>
      </c>
      <c r="B58" s="1" t="s">
        <v>4</v>
      </c>
      <c r="C58" s="18" t="s">
        <v>210</v>
      </c>
      <c r="D58" s="11"/>
      <c r="E58" s="11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S58" s="19"/>
      <c r="U58" s="15" t="s">
        <v>275</v>
      </c>
      <c r="V58" s="16">
        <v>2</v>
      </c>
      <c r="W58" s="21"/>
      <c r="X58" s="16"/>
      <c r="Y58" s="47"/>
      <c r="Z58" s="39"/>
      <c r="AA58" s="44">
        <v>5</v>
      </c>
      <c r="AB58" s="17">
        <f t="shared" si="0"/>
        <v>10</v>
      </c>
      <c r="AC58" s="16"/>
    </row>
    <row r="59" spans="1:29" s="5" customFormat="1" outlineLevel="1" x14ac:dyDescent="0.25">
      <c r="A59" s="1" t="s">
        <v>4</v>
      </c>
      <c r="B59" s="1" t="s">
        <v>4</v>
      </c>
      <c r="C59" s="18" t="s">
        <v>211</v>
      </c>
      <c r="D59" s="11"/>
      <c r="E59" s="11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S59" s="19"/>
      <c r="U59" s="15" t="s">
        <v>276</v>
      </c>
      <c r="V59" s="16">
        <v>1</v>
      </c>
      <c r="W59" s="21"/>
      <c r="X59" s="16"/>
      <c r="Y59" s="47"/>
      <c r="Z59" s="39"/>
      <c r="AA59" s="44">
        <v>5</v>
      </c>
      <c r="AB59" s="17">
        <f t="shared" si="0"/>
        <v>5</v>
      </c>
      <c r="AC59" s="16"/>
    </row>
    <row r="60" spans="1:29" s="5" customFormat="1" outlineLevel="1" x14ac:dyDescent="0.25">
      <c r="A60" s="1" t="s">
        <v>4</v>
      </c>
      <c r="B60" s="1" t="s">
        <v>4</v>
      </c>
      <c r="C60" s="18" t="s">
        <v>212</v>
      </c>
      <c r="D60" s="11"/>
      <c r="E60" s="11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S60" s="19"/>
      <c r="U60" s="15" t="s">
        <v>277</v>
      </c>
      <c r="V60" s="16">
        <v>13</v>
      </c>
      <c r="W60" s="21"/>
      <c r="X60" s="16"/>
      <c r="Y60" s="47"/>
      <c r="Z60" s="39"/>
      <c r="AA60" s="44">
        <v>5</v>
      </c>
      <c r="AB60" s="17">
        <f t="shared" si="0"/>
        <v>65</v>
      </c>
      <c r="AC60" s="16"/>
    </row>
    <row r="61" spans="1:29" s="5" customFormat="1" outlineLevel="1" x14ac:dyDescent="0.25">
      <c r="A61" s="1" t="s">
        <v>4</v>
      </c>
      <c r="B61" s="1" t="s">
        <v>4</v>
      </c>
      <c r="C61" s="18" t="s">
        <v>130</v>
      </c>
      <c r="D61" s="11"/>
      <c r="E61" s="11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S61" s="19"/>
      <c r="U61" s="15" t="s">
        <v>144</v>
      </c>
      <c r="V61" s="16">
        <v>1</v>
      </c>
      <c r="W61" s="21"/>
      <c r="X61" s="16"/>
      <c r="Y61" s="47"/>
      <c r="Z61" s="39"/>
      <c r="AA61" s="44">
        <v>5</v>
      </c>
      <c r="AB61" s="17">
        <f t="shared" si="0"/>
        <v>5</v>
      </c>
      <c r="AC61" s="16"/>
    </row>
    <row r="62" spans="1:29" s="5" customFormat="1" outlineLevel="1" x14ac:dyDescent="0.25">
      <c r="A62" s="1" t="s">
        <v>4</v>
      </c>
      <c r="B62" s="1" t="s">
        <v>4</v>
      </c>
      <c r="C62" s="18" t="s">
        <v>213</v>
      </c>
      <c r="D62" s="11"/>
      <c r="E62" s="11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S62" s="19"/>
      <c r="U62" s="15" t="s">
        <v>278</v>
      </c>
      <c r="V62" s="16">
        <v>2</v>
      </c>
      <c r="W62" s="21"/>
      <c r="X62" s="16"/>
      <c r="Y62" s="47"/>
      <c r="Z62" s="39"/>
      <c r="AA62" s="44">
        <v>5</v>
      </c>
      <c r="AB62" s="17">
        <f t="shared" si="0"/>
        <v>10</v>
      </c>
      <c r="AC62" s="16"/>
    </row>
    <row r="63" spans="1:29" s="5" customFormat="1" outlineLevel="1" x14ac:dyDescent="0.25">
      <c r="A63" s="1" t="s">
        <v>4</v>
      </c>
      <c r="B63" s="1" t="s">
        <v>4</v>
      </c>
      <c r="C63" s="18" t="s">
        <v>214</v>
      </c>
      <c r="D63" s="11"/>
      <c r="E63" s="11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S63" s="19"/>
      <c r="U63" s="15" t="s">
        <v>279</v>
      </c>
      <c r="V63" s="16">
        <v>7</v>
      </c>
      <c r="W63" s="21"/>
      <c r="X63" s="16"/>
      <c r="Y63" s="47"/>
      <c r="Z63" s="39"/>
      <c r="AA63" s="44">
        <v>5</v>
      </c>
      <c r="AB63" s="17">
        <f t="shared" si="0"/>
        <v>35</v>
      </c>
      <c r="AC63" s="16"/>
    </row>
    <row r="64" spans="1:29" s="5" customFormat="1" outlineLevel="1" x14ac:dyDescent="0.25">
      <c r="A64" s="1" t="s">
        <v>4</v>
      </c>
      <c r="B64" s="1" t="s">
        <v>4</v>
      </c>
      <c r="C64" s="18" t="s">
        <v>215</v>
      </c>
      <c r="D64" s="11"/>
      <c r="E64" s="11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S64" s="19"/>
      <c r="U64" s="15" t="s">
        <v>280</v>
      </c>
      <c r="V64" s="16">
        <v>4</v>
      </c>
      <c r="W64" s="21"/>
      <c r="X64" s="16"/>
      <c r="Y64" s="47"/>
      <c r="Z64" s="39"/>
      <c r="AA64" s="44">
        <v>5</v>
      </c>
      <c r="AB64" s="17">
        <f t="shared" si="0"/>
        <v>20</v>
      </c>
      <c r="AC64" s="16"/>
    </row>
    <row r="65" spans="1:29" s="5" customFormat="1" outlineLevel="1" x14ac:dyDescent="0.25">
      <c r="A65" s="1" t="s">
        <v>4</v>
      </c>
      <c r="B65" s="1" t="s">
        <v>4</v>
      </c>
      <c r="C65" s="18" t="s">
        <v>216</v>
      </c>
      <c r="D65" s="11"/>
      <c r="E65" s="11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S65" s="19"/>
      <c r="U65" s="15" t="s">
        <v>281</v>
      </c>
      <c r="V65" s="16">
        <v>2</v>
      </c>
      <c r="W65" s="21"/>
      <c r="X65" s="16"/>
      <c r="Y65" s="47"/>
      <c r="Z65" s="39"/>
      <c r="AA65" s="44">
        <v>110</v>
      </c>
      <c r="AB65" s="17">
        <f t="shared" si="0"/>
        <v>220</v>
      </c>
      <c r="AC65" s="16"/>
    </row>
    <row r="66" spans="1:29" s="5" customFormat="1" outlineLevel="1" x14ac:dyDescent="0.25">
      <c r="A66" s="1" t="s">
        <v>4</v>
      </c>
      <c r="B66" s="1" t="s">
        <v>4</v>
      </c>
      <c r="C66" s="18" t="s">
        <v>217</v>
      </c>
      <c r="D66" s="11"/>
      <c r="E66" s="11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S66" s="19"/>
      <c r="U66" s="15" t="s">
        <v>282</v>
      </c>
      <c r="V66" s="16">
        <v>1</v>
      </c>
      <c r="W66" s="21"/>
      <c r="X66" s="16"/>
      <c r="Y66" s="47"/>
      <c r="Z66" s="39"/>
      <c r="AA66" s="44">
        <v>59</v>
      </c>
      <c r="AB66" s="17">
        <f t="shared" si="0"/>
        <v>59</v>
      </c>
      <c r="AC66" s="16"/>
    </row>
    <row r="67" spans="1:29" s="5" customFormat="1" outlineLevel="1" x14ac:dyDescent="0.25">
      <c r="A67" s="1" t="s">
        <v>4</v>
      </c>
      <c r="B67" s="1" t="s">
        <v>4</v>
      </c>
      <c r="C67" s="18" t="s">
        <v>218</v>
      </c>
      <c r="D67" s="11"/>
      <c r="E67" s="11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S67" s="19"/>
      <c r="U67" s="15" t="s">
        <v>110</v>
      </c>
      <c r="V67" s="16">
        <v>1</v>
      </c>
      <c r="W67" s="21"/>
      <c r="X67" s="16"/>
      <c r="Y67" s="47" t="s">
        <v>111</v>
      </c>
      <c r="Z67" s="39"/>
      <c r="AA67" s="44">
        <v>250</v>
      </c>
      <c r="AB67" s="17">
        <f t="shared" si="0"/>
        <v>250</v>
      </c>
      <c r="AC67" s="16"/>
    </row>
    <row r="68" spans="1:29" s="5" customFormat="1" outlineLevel="1" x14ac:dyDescent="0.25">
      <c r="A68" s="1" t="s">
        <v>4</v>
      </c>
      <c r="B68" s="1" t="s">
        <v>4</v>
      </c>
      <c r="C68" s="18" t="s">
        <v>219</v>
      </c>
      <c r="D68" s="11"/>
      <c r="E68" s="11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S68" s="19"/>
      <c r="U68" s="15" t="s">
        <v>283</v>
      </c>
      <c r="V68" s="16">
        <v>1</v>
      </c>
      <c r="W68" s="21"/>
      <c r="X68" s="16"/>
      <c r="Y68" s="47"/>
      <c r="Z68" s="39"/>
      <c r="AA68" s="44">
        <v>27</v>
      </c>
      <c r="AB68" s="17">
        <f t="shared" si="0"/>
        <v>27</v>
      </c>
      <c r="AC68" s="16"/>
    </row>
    <row r="69" spans="1:29" s="5" customFormat="1" outlineLevel="1" x14ac:dyDescent="0.25">
      <c r="A69" s="1" t="s">
        <v>4</v>
      </c>
      <c r="B69" s="1" t="s">
        <v>4</v>
      </c>
      <c r="C69" s="18" t="s">
        <v>220</v>
      </c>
      <c r="D69" s="11"/>
      <c r="E69" s="11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S69" s="19"/>
      <c r="U69" s="15" t="s">
        <v>284</v>
      </c>
      <c r="V69" s="16">
        <v>1</v>
      </c>
      <c r="W69" s="21"/>
      <c r="X69" s="16"/>
      <c r="Y69" s="47"/>
      <c r="Z69" s="39"/>
      <c r="AA69" s="44">
        <v>11</v>
      </c>
      <c r="AB69" s="17">
        <f t="shared" si="0"/>
        <v>11</v>
      </c>
      <c r="AC69" s="16"/>
    </row>
    <row r="70" spans="1:29" s="5" customFormat="1" outlineLevel="1" x14ac:dyDescent="0.25">
      <c r="A70" s="1" t="s">
        <v>4</v>
      </c>
      <c r="B70" s="1" t="s">
        <v>4</v>
      </c>
      <c r="C70" s="18" t="s">
        <v>221</v>
      </c>
      <c r="D70" s="11"/>
      <c r="E70" s="11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S70" s="19"/>
      <c r="U70" s="15" t="s">
        <v>285</v>
      </c>
      <c r="V70" s="16">
        <v>1</v>
      </c>
      <c r="W70" s="21"/>
      <c r="X70" s="16"/>
      <c r="Y70" s="47"/>
      <c r="Z70" s="39"/>
      <c r="AA70" s="44">
        <v>14</v>
      </c>
      <c r="AB70" s="17">
        <f t="shared" si="0"/>
        <v>14</v>
      </c>
      <c r="AC70" s="16"/>
    </row>
    <row r="71" spans="1:29" s="5" customFormat="1" outlineLevel="1" x14ac:dyDescent="0.25">
      <c r="A71" s="1" t="s">
        <v>4</v>
      </c>
      <c r="B71" s="1" t="s">
        <v>4</v>
      </c>
      <c r="C71" s="18" t="s">
        <v>222</v>
      </c>
      <c r="D71" s="11"/>
      <c r="E71" s="11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S71" s="19"/>
      <c r="U71" s="15" t="s">
        <v>286</v>
      </c>
      <c r="V71" s="16">
        <v>1</v>
      </c>
      <c r="W71" s="21"/>
      <c r="X71" s="16"/>
      <c r="Y71" s="47"/>
      <c r="Z71" s="39"/>
      <c r="AA71" s="44">
        <v>5</v>
      </c>
      <c r="AB71" s="17">
        <f t="shared" si="0"/>
        <v>5</v>
      </c>
      <c r="AC71" s="16"/>
    </row>
    <row r="72" spans="1:29" s="5" customFormat="1" outlineLevel="1" x14ac:dyDescent="0.25">
      <c r="A72" s="1" t="s">
        <v>4</v>
      </c>
      <c r="B72" s="1" t="s">
        <v>4</v>
      </c>
      <c r="C72" s="18" t="s">
        <v>223</v>
      </c>
      <c r="D72" s="11"/>
      <c r="E72" s="11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S72" s="19"/>
      <c r="U72" s="15" t="s">
        <v>287</v>
      </c>
      <c r="V72" s="16">
        <v>1</v>
      </c>
      <c r="W72" s="21"/>
      <c r="X72" s="16"/>
      <c r="Y72" s="47"/>
      <c r="Z72" s="39"/>
      <c r="AA72" s="44">
        <v>22</v>
      </c>
      <c r="AB72" s="17">
        <f t="shared" si="0"/>
        <v>22</v>
      </c>
      <c r="AC72" s="16"/>
    </row>
    <row r="73" spans="1:29" s="5" customFormat="1" outlineLevel="1" x14ac:dyDescent="0.25">
      <c r="A73" s="1" t="s">
        <v>4</v>
      </c>
      <c r="B73" s="1" t="s">
        <v>4</v>
      </c>
      <c r="C73" s="18" t="s">
        <v>224</v>
      </c>
      <c r="D73" s="11"/>
      <c r="E73" s="11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S73" s="19"/>
      <c r="U73" s="15" t="s">
        <v>288</v>
      </c>
      <c r="V73" s="16">
        <v>2</v>
      </c>
      <c r="W73" s="21"/>
      <c r="X73" s="16"/>
      <c r="Y73" s="47"/>
      <c r="Z73" s="39"/>
      <c r="AA73" s="44">
        <v>0.7</v>
      </c>
      <c r="AB73" s="17">
        <f t="shared" si="0"/>
        <v>1.4</v>
      </c>
      <c r="AC73" s="16"/>
    </row>
    <row r="74" spans="1:29" s="5" customFormat="1" outlineLevel="1" x14ac:dyDescent="0.25">
      <c r="A74" s="1" t="s">
        <v>4</v>
      </c>
      <c r="B74" s="1" t="s">
        <v>4</v>
      </c>
      <c r="C74" s="18" t="s">
        <v>225</v>
      </c>
      <c r="D74" s="11"/>
      <c r="E74" s="11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S74" s="19"/>
      <c r="U74" s="15" t="s">
        <v>289</v>
      </c>
      <c r="V74" s="16">
        <v>1</v>
      </c>
      <c r="W74" s="21"/>
      <c r="X74" s="16"/>
      <c r="Y74" s="47"/>
      <c r="Z74" s="39"/>
      <c r="AA74" s="44">
        <v>4</v>
      </c>
      <c r="AB74" s="17">
        <f t="shared" si="0"/>
        <v>4</v>
      </c>
      <c r="AC74" s="16"/>
    </row>
    <row r="75" spans="1:29" s="5" customFormat="1" outlineLevel="1" x14ac:dyDescent="0.25">
      <c r="A75" s="1" t="s">
        <v>4</v>
      </c>
      <c r="B75" s="1" t="s">
        <v>4</v>
      </c>
      <c r="C75" s="18" t="s">
        <v>226</v>
      </c>
      <c r="D75" s="11"/>
      <c r="E75" s="11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S75" s="19"/>
      <c r="U75" s="15" t="s">
        <v>290</v>
      </c>
      <c r="V75" s="16">
        <v>2</v>
      </c>
      <c r="W75" s="21"/>
      <c r="X75" s="16"/>
      <c r="Y75" s="47"/>
      <c r="Z75" s="39"/>
      <c r="AA75" s="44">
        <v>2</v>
      </c>
      <c r="AB75" s="17">
        <f t="shared" si="0"/>
        <v>4</v>
      </c>
      <c r="AC75" s="16"/>
    </row>
    <row r="76" spans="1:29" s="5" customFormat="1" outlineLevel="1" x14ac:dyDescent="0.25">
      <c r="A76" s="1" t="s">
        <v>4</v>
      </c>
      <c r="B76" s="1" t="s">
        <v>4</v>
      </c>
      <c r="C76" s="18" t="s">
        <v>227</v>
      </c>
      <c r="D76" s="11"/>
      <c r="E76" s="11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S76" s="19"/>
      <c r="U76" s="15" t="s">
        <v>291</v>
      </c>
      <c r="V76" s="16">
        <v>1</v>
      </c>
      <c r="W76" s="21"/>
      <c r="X76" s="16"/>
      <c r="Y76" s="47"/>
      <c r="Z76" s="39"/>
      <c r="AA76" s="44">
        <v>10</v>
      </c>
      <c r="AB76" s="17">
        <f t="shared" si="0"/>
        <v>10</v>
      </c>
      <c r="AC76" s="16"/>
    </row>
    <row r="77" spans="1:29" s="5" customFormat="1" outlineLevel="1" x14ac:dyDescent="0.25">
      <c r="A77" s="1" t="s">
        <v>4</v>
      </c>
      <c r="B77" s="1" t="s">
        <v>4</v>
      </c>
      <c r="C77" s="18" t="s">
        <v>228</v>
      </c>
      <c r="D77" s="11"/>
      <c r="E77" s="11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S77" s="19"/>
      <c r="U77" s="15" t="s">
        <v>292</v>
      </c>
      <c r="V77" s="16">
        <v>2</v>
      </c>
      <c r="W77" s="21"/>
      <c r="X77" s="16"/>
      <c r="Y77" s="47"/>
      <c r="Z77" s="39"/>
      <c r="AA77" s="44">
        <v>40</v>
      </c>
      <c r="AB77" s="17">
        <f t="shared" si="0"/>
        <v>80</v>
      </c>
      <c r="AC77" s="16"/>
    </row>
    <row r="78" spans="1:29" s="5" customFormat="1" outlineLevel="1" x14ac:dyDescent="0.25">
      <c r="A78" s="1" t="s">
        <v>4</v>
      </c>
      <c r="B78" s="1" t="s">
        <v>4</v>
      </c>
      <c r="C78" s="18" t="s">
        <v>229</v>
      </c>
      <c r="D78" s="11"/>
      <c r="E78" s="11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S78" s="19"/>
      <c r="U78" s="15" t="s">
        <v>293</v>
      </c>
      <c r="V78" s="16">
        <v>4</v>
      </c>
      <c r="W78" s="21"/>
      <c r="X78" s="16"/>
      <c r="Y78" s="47"/>
      <c r="Z78" s="39"/>
      <c r="AA78" s="44">
        <v>4</v>
      </c>
      <c r="AB78" s="17">
        <f t="shared" si="0"/>
        <v>16</v>
      </c>
      <c r="AC78" s="16"/>
    </row>
    <row r="79" spans="1:29" s="5" customFormat="1" outlineLevel="1" x14ac:dyDescent="0.25">
      <c r="A79" s="1" t="s">
        <v>4</v>
      </c>
      <c r="B79" s="1" t="s">
        <v>4</v>
      </c>
      <c r="C79" s="18" t="s">
        <v>132</v>
      </c>
      <c r="D79" s="11"/>
      <c r="E79" s="11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S79" s="19"/>
      <c r="U79" s="15" t="s">
        <v>146</v>
      </c>
      <c r="V79" s="16">
        <v>3</v>
      </c>
      <c r="W79" s="21"/>
      <c r="X79" s="16"/>
      <c r="Y79" s="47"/>
      <c r="Z79" s="39"/>
      <c r="AA79" s="44">
        <v>60</v>
      </c>
      <c r="AB79" s="17">
        <f t="shared" si="0"/>
        <v>180</v>
      </c>
      <c r="AC79" s="16"/>
    </row>
    <row r="80" spans="1:29" s="5" customFormat="1" outlineLevel="1" x14ac:dyDescent="0.25">
      <c r="A80" s="1" t="s">
        <v>4</v>
      </c>
      <c r="B80" s="1" t="s">
        <v>4</v>
      </c>
      <c r="C80" s="18" t="s">
        <v>230</v>
      </c>
      <c r="D80" s="11"/>
      <c r="E80" s="11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S80" s="19"/>
      <c r="U80" s="15" t="s">
        <v>294</v>
      </c>
      <c r="V80" s="16">
        <v>2</v>
      </c>
      <c r="W80" s="21"/>
      <c r="X80" s="16"/>
      <c r="Y80" s="47"/>
      <c r="Z80" s="39"/>
      <c r="AA80" s="44">
        <v>160</v>
      </c>
      <c r="AB80" s="17">
        <f t="shared" si="0"/>
        <v>320</v>
      </c>
      <c r="AC80" s="16"/>
    </row>
    <row r="81" spans="1:30" s="5" customFormat="1" outlineLevel="1" x14ac:dyDescent="0.25">
      <c r="A81" s="1" t="s">
        <v>4</v>
      </c>
      <c r="B81" s="1" t="s">
        <v>4</v>
      </c>
      <c r="C81" s="18" t="s">
        <v>231</v>
      </c>
      <c r="D81" s="11"/>
      <c r="E81" s="11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S81" s="19"/>
      <c r="U81" s="15" t="s">
        <v>295</v>
      </c>
      <c r="V81" s="16">
        <v>1</v>
      </c>
      <c r="W81" s="21"/>
      <c r="X81" s="16"/>
      <c r="Y81" s="47"/>
      <c r="Z81" s="39"/>
      <c r="AA81" s="44">
        <v>35</v>
      </c>
      <c r="AB81" s="17">
        <f t="shared" si="0"/>
        <v>35</v>
      </c>
      <c r="AC81" s="16"/>
    </row>
    <row r="82" spans="1:30" s="5" customFormat="1" outlineLevel="1" x14ac:dyDescent="0.25">
      <c r="A82" s="1" t="s">
        <v>4</v>
      </c>
      <c r="B82" s="1" t="s">
        <v>4</v>
      </c>
      <c r="C82" s="18" t="s">
        <v>232</v>
      </c>
      <c r="D82" s="11"/>
      <c r="E82" s="11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S82" s="19"/>
      <c r="U82" s="15" t="s">
        <v>296</v>
      </c>
      <c r="V82" s="16">
        <v>1</v>
      </c>
      <c r="W82" s="21"/>
      <c r="X82" s="16"/>
      <c r="Y82" s="47"/>
      <c r="Z82" s="39"/>
      <c r="AA82" s="44">
        <v>83</v>
      </c>
      <c r="AB82" s="17">
        <f t="shared" si="0"/>
        <v>83</v>
      </c>
      <c r="AC82" s="16"/>
    </row>
    <row r="83" spans="1:30" s="5" customFormat="1" outlineLevel="1" x14ac:dyDescent="0.25">
      <c r="A83" s="1" t="s">
        <v>4</v>
      </c>
      <c r="B83" s="1" t="s">
        <v>4</v>
      </c>
      <c r="C83" s="18" t="s">
        <v>233</v>
      </c>
      <c r="D83" s="11"/>
      <c r="E83" s="11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S83" s="19"/>
      <c r="U83" s="15" t="s">
        <v>297</v>
      </c>
      <c r="V83" s="16">
        <v>1</v>
      </c>
      <c r="W83" s="21"/>
      <c r="X83" s="16"/>
      <c r="Y83" s="47"/>
      <c r="Z83" s="39"/>
      <c r="AA83" s="44">
        <v>8</v>
      </c>
      <c r="AB83" s="17">
        <f t="shared" si="0"/>
        <v>8</v>
      </c>
      <c r="AC83" s="16"/>
    </row>
    <row r="84" spans="1:30" s="5" customFormat="1" outlineLevel="1" x14ac:dyDescent="0.25">
      <c r="A84" s="1" t="s">
        <v>4</v>
      </c>
      <c r="B84" s="1" t="s">
        <v>4</v>
      </c>
      <c r="C84" s="18" t="s">
        <v>234</v>
      </c>
      <c r="D84" s="11"/>
      <c r="E84" s="11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S84" s="19"/>
      <c r="U84" s="15" t="s">
        <v>298</v>
      </c>
      <c r="V84" s="16">
        <v>1</v>
      </c>
      <c r="W84" s="21"/>
      <c r="X84" s="16"/>
      <c r="Y84" s="47"/>
      <c r="Z84" s="39"/>
      <c r="AA84" s="44">
        <v>26</v>
      </c>
      <c r="AB84" s="17">
        <f t="shared" si="0"/>
        <v>26</v>
      </c>
      <c r="AC84" s="16"/>
    </row>
    <row r="85" spans="1:30" s="5" customFormat="1" outlineLevel="1" x14ac:dyDescent="0.25">
      <c r="A85" s="1" t="s">
        <v>4</v>
      </c>
      <c r="B85" s="1" t="s">
        <v>4</v>
      </c>
      <c r="C85" s="18" t="s">
        <v>235</v>
      </c>
      <c r="D85" s="11"/>
      <c r="E85" s="11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S85" s="19"/>
      <c r="U85" s="15" t="s">
        <v>299</v>
      </c>
      <c r="V85" s="16">
        <v>7</v>
      </c>
      <c r="W85" s="21"/>
      <c r="X85" s="16"/>
      <c r="Y85" s="47"/>
      <c r="Z85" s="39"/>
      <c r="AA85" s="44">
        <v>19</v>
      </c>
      <c r="AB85" s="17">
        <f t="shared" si="0"/>
        <v>133</v>
      </c>
      <c r="AC85" s="16"/>
    </row>
    <row r="86" spans="1:30" s="5" customFormat="1" outlineLevel="1" x14ac:dyDescent="0.25">
      <c r="A86" s="1" t="s">
        <v>4</v>
      </c>
      <c r="B86" s="1" t="s">
        <v>4</v>
      </c>
      <c r="C86" s="18" t="s">
        <v>236</v>
      </c>
      <c r="D86" s="11"/>
      <c r="E86" s="11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S86" s="19"/>
      <c r="U86" s="15" t="s">
        <v>300</v>
      </c>
      <c r="V86" s="16">
        <v>1</v>
      </c>
      <c r="W86" s="21"/>
      <c r="X86" s="16"/>
      <c r="Y86" s="47"/>
      <c r="Z86" s="39"/>
      <c r="AA86" s="44">
        <v>26</v>
      </c>
      <c r="AB86" s="17">
        <f t="shared" si="0"/>
        <v>26</v>
      </c>
      <c r="AC86" s="16"/>
    </row>
    <row r="87" spans="1:30" s="5" customFormat="1" outlineLevel="1" x14ac:dyDescent="0.25">
      <c r="A87" s="1" t="s">
        <v>4</v>
      </c>
      <c r="B87" s="1" t="s">
        <v>4</v>
      </c>
      <c r="C87" s="18" t="s">
        <v>237</v>
      </c>
      <c r="D87" s="11"/>
      <c r="E87" s="11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S87" s="19"/>
      <c r="U87" s="15" t="s">
        <v>301</v>
      </c>
      <c r="V87" s="16">
        <v>1</v>
      </c>
      <c r="W87" s="21"/>
      <c r="X87" s="16"/>
      <c r="Y87" s="47"/>
      <c r="Z87" s="39"/>
      <c r="AA87" s="44">
        <v>8</v>
      </c>
      <c r="AB87" s="17">
        <f t="shared" si="0"/>
        <v>8</v>
      </c>
      <c r="AC87" s="16"/>
    </row>
    <row r="88" spans="1:30" s="11" customFormat="1" x14ac:dyDescent="0.25">
      <c r="A88" s="1" t="s">
        <v>4</v>
      </c>
      <c r="B88" s="3" t="s">
        <v>22</v>
      </c>
      <c r="S88" s="5"/>
      <c r="T88" s="5"/>
      <c r="U88" s="15" t="s">
        <v>23</v>
      </c>
      <c r="V88" s="16">
        <v>1</v>
      </c>
      <c r="W88" s="21" t="s">
        <v>10</v>
      </c>
      <c r="X88" s="15"/>
      <c r="Y88" s="47"/>
      <c r="Z88" s="39"/>
      <c r="AA88" s="17"/>
      <c r="AB88" s="17">
        <f t="shared" si="0"/>
        <v>0</v>
      </c>
      <c r="AC88" s="45"/>
      <c r="AD88" s="5"/>
    </row>
    <row r="89" spans="1:30" s="48" customFormat="1" x14ac:dyDescent="0.25">
      <c r="A89" s="1" t="s">
        <v>4</v>
      </c>
      <c r="B89" s="1" t="s">
        <v>4</v>
      </c>
      <c r="C89" s="11" t="s">
        <v>25</v>
      </c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5"/>
      <c r="T89" s="5"/>
      <c r="U89" s="15"/>
      <c r="V89" s="16">
        <v>1</v>
      </c>
      <c r="W89" s="21" t="s">
        <v>10</v>
      </c>
      <c r="X89" s="15" t="s">
        <v>32</v>
      </c>
      <c r="Y89" s="47" t="s">
        <v>31</v>
      </c>
      <c r="Z89" s="39"/>
      <c r="AA89" s="17"/>
      <c r="AB89" s="17">
        <v>1700</v>
      </c>
      <c r="AC89" s="45"/>
      <c r="AD89" s="49"/>
    </row>
    <row r="90" spans="1:30" s="48" customFormat="1" x14ac:dyDescent="0.25">
      <c r="A90" s="1" t="s">
        <v>4</v>
      </c>
      <c r="B90" s="1" t="s">
        <v>4</v>
      </c>
      <c r="C90" s="11" t="s">
        <v>96</v>
      </c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5"/>
      <c r="T90" s="5"/>
      <c r="U90" s="15" t="s">
        <v>95</v>
      </c>
      <c r="V90" s="16">
        <v>1</v>
      </c>
      <c r="W90" s="21" t="s">
        <v>10</v>
      </c>
      <c r="X90" s="15" t="s">
        <v>97</v>
      </c>
      <c r="Y90" s="47" t="s">
        <v>98</v>
      </c>
      <c r="Z90" s="39"/>
      <c r="AA90" s="17">
        <v>520</v>
      </c>
      <c r="AB90" s="17">
        <f t="shared" si="0"/>
        <v>520</v>
      </c>
      <c r="AC90" s="45"/>
      <c r="AD90" s="49"/>
    </row>
    <row r="91" spans="1:30" s="48" customFormat="1" x14ac:dyDescent="0.25">
      <c r="A91" s="1" t="s">
        <v>4</v>
      </c>
      <c r="B91" s="1" t="s">
        <v>4</v>
      </c>
      <c r="C91" t="s">
        <v>123</v>
      </c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5"/>
      <c r="T91" s="5"/>
      <c r="U91" s="15" t="s">
        <v>137</v>
      </c>
      <c r="V91" s="16">
        <v>2</v>
      </c>
      <c r="W91" s="21" t="s">
        <v>10</v>
      </c>
      <c r="X91" s="15"/>
      <c r="Y91" s="47" t="s">
        <v>151</v>
      </c>
      <c r="Z91" s="39"/>
      <c r="AA91" s="17">
        <v>32</v>
      </c>
      <c r="AB91" s="17">
        <f t="shared" si="0"/>
        <v>64</v>
      </c>
      <c r="AC91" s="45"/>
      <c r="AD91" s="49"/>
    </row>
    <row r="92" spans="1:30" s="48" customFormat="1" x14ac:dyDescent="0.25">
      <c r="A92" s="1" t="s">
        <v>4</v>
      </c>
      <c r="B92" s="1" t="s">
        <v>4</v>
      </c>
      <c r="C92" t="s">
        <v>124</v>
      </c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5"/>
      <c r="T92" s="5"/>
      <c r="U92" s="15" t="s">
        <v>138</v>
      </c>
      <c r="V92" s="16">
        <v>2</v>
      </c>
      <c r="W92" s="21" t="s">
        <v>10</v>
      </c>
      <c r="X92" s="15"/>
      <c r="Y92" s="47" t="s">
        <v>152</v>
      </c>
      <c r="Z92" s="39"/>
      <c r="AA92" s="17">
        <v>4</v>
      </c>
      <c r="AB92" s="17">
        <f t="shared" si="0"/>
        <v>8</v>
      </c>
      <c r="AC92" s="45"/>
      <c r="AD92" s="49"/>
    </row>
    <row r="93" spans="1:30" s="48" customFormat="1" x14ac:dyDescent="0.25">
      <c r="A93" s="1" t="s">
        <v>4</v>
      </c>
      <c r="B93" s="1" t="s">
        <v>4</v>
      </c>
      <c r="C93" t="s">
        <v>125</v>
      </c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5"/>
      <c r="T93" s="5"/>
      <c r="U93" s="15" t="s">
        <v>139</v>
      </c>
      <c r="V93" s="16">
        <v>5</v>
      </c>
      <c r="W93" s="21" t="s">
        <v>10</v>
      </c>
      <c r="X93" s="15"/>
      <c r="Y93" s="47" t="s">
        <v>153</v>
      </c>
      <c r="Z93" s="39"/>
      <c r="AA93" s="17">
        <v>5</v>
      </c>
      <c r="AB93" s="17">
        <f t="shared" si="0"/>
        <v>25</v>
      </c>
      <c r="AC93" s="45"/>
      <c r="AD93" s="49"/>
    </row>
    <row r="94" spans="1:30" s="48" customFormat="1" x14ac:dyDescent="0.25">
      <c r="A94" s="1" t="s">
        <v>4</v>
      </c>
      <c r="B94" s="1" t="s">
        <v>4</v>
      </c>
      <c r="C94" t="s">
        <v>126</v>
      </c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5"/>
      <c r="T94" s="5"/>
      <c r="U94" s="15" t="s">
        <v>140</v>
      </c>
      <c r="V94" s="16">
        <v>1</v>
      </c>
      <c r="W94" s="21" t="s">
        <v>10</v>
      </c>
      <c r="X94" s="15"/>
      <c r="Y94" s="47" t="s">
        <v>154</v>
      </c>
      <c r="Z94" s="39"/>
      <c r="AA94" s="17">
        <v>21</v>
      </c>
      <c r="AB94" s="17">
        <f t="shared" si="0"/>
        <v>21</v>
      </c>
      <c r="AC94" s="45"/>
      <c r="AD94" s="49"/>
    </row>
    <row r="95" spans="1:30" s="48" customFormat="1" x14ac:dyDescent="0.25">
      <c r="A95" s="1" t="s">
        <v>4</v>
      </c>
      <c r="B95" s="1" t="s">
        <v>4</v>
      </c>
      <c r="C95" t="s">
        <v>127</v>
      </c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5"/>
      <c r="T95" s="5"/>
      <c r="U95" s="15" t="s">
        <v>141</v>
      </c>
      <c r="V95" s="16">
        <v>1</v>
      </c>
      <c r="W95" s="21" t="s">
        <v>10</v>
      </c>
      <c r="X95" s="15"/>
      <c r="Y95" s="47" t="s">
        <v>155</v>
      </c>
      <c r="Z95" s="39"/>
      <c r="AA95" s="17">
        <v>72</v>
      </c>
      <c r="AB95" s="17">
        <f t="shared" si="0"/>
        <v>72</v>
      </c>
      <c r="AC95" s="45"/>
      <c r="AD95" s="49"/>
    </row>
    <row r="96" spans="1:30" s="48" customFormat="1" x14ac:dyDescent="0.25">
      <c r="A96" s="1" t="s">
        <v>4</v>
      </c>
      <c r="B96" s="1" t="s">
        <v>4</v>
      </c>
      <c r="C96" t="s">
        <v>128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5"/>
      <c r="T96" s="5"/>
      <c r="U96" s="15" t="s">
        <v>142</v>
      </c>
      <c r="V96" s="16">
        <v>3</v>
      </c>
      <c r="W96" s="21" t="s">
        <v>10</v>
      </c>
      <c r="X96" s="15"/>
      <c r="Y96" s="47" t="s">
        <v>156</v>
      </c>
      <c r="Z96" s="39"/>
      <c r="AA96" s="17">
        <v>5</v>
      </c>
      <c r="AB96" s="17">
        <f t="shared" si="0"/>
        <v>15</v>
      </c>
      <c r="AC96" s="45"/>
      <c r="AD96" s="49"/>
    </row>
    <row r="97" spans="1:30" s="48" customFormat="1" x14ac:dyDescent="0.25">
      <c r="A97" s="1" t="s">
        <v>4</v>
      </c>
      <c r="B97" s="1" t="s">
        <v>4</v>
      </c>
      <c r="C97" t="s">
        <v>129</v>
      </c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5"/>
      <c r="T97" s="5"/>
      <c r="U97" s="15" t="s">
        <v>143</v>
      </c>
      <c r="V97" s="16">
        <v>1</v>
      </c>
      <c r="W97" s="21" t="s">
        <v>10</v>
      </c>
      <c r="X97" s="15"/>
      <c r="Y97" s="47" t="s">
        <v>157</v>
      </c>
      <c r="Z97" s="39"/>
      <c r="AA97" s="17">
        <v>5</v>
      </c>
      <c r="AB97" s="17">
        <f t="shared" si="0"/>
        <v>5</v>
      </c>
      <c r="AC97" s="45"/>
      <c r="AD97" s="49"/>
    </row>
    <row r="98" spans="1:30" s="48" customFormat="1" x14ac:dyDescent="0.25">
      <c r="A98" s="1" t="s">
        <v>4</v>
      </c>
      <c r="B98" s="1" t="s">
        <v>4</v>
      </c>
      <c r="C98" t="s">
        <v>130</v>
      </c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5"/>
      <c r="T98" s="5"/>
      <c r="U98" s="15" t="s">
        <v>144</v>
      </c>
      <c r="V98" s="16">
        <v>1</v>
      </c>
      <c r="W98" s="21" t="s">
        <v>10</v>
      </c>
      <c r="X98" s="15"/>
      <c r="Y98" s="47" t="s">
        <v>158</v>
      </c>
      <c r="Z98" s="39"/>
      <c r="AA98" s="17">
        <v>5</v>
      </c>
      <c r="AB98" s="17">
        <f t="shared" si="0"/>
        <v>5</v>
      </c>
      <c r="AC98" s="45"/>
      <c r="AD98" s="49"/>
    </row>
    <row r="99" spans="1:30" s="48" customFormat="1" x14ac:dyDescent="0.25">
      <c r="A99" s="1" t="s">
        <v>4</v>
      </c>
      <c r="B99" s="1" t="s">
        <v>4</v>
      </c>
      <c r="C99" t="s">
        <v>131</v>
      </c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5"/>
      <c r="T99" s="5"/>
      <c r="U99" s="15" t="s">
        <v>145</v>
      </c>
      <c r="V99" s="16">
        <v>1</v>
      </c>
      <c r="W99" s="21" t="s">
        <v>10</v>
      </c>
      <c r="X99" s="15"/>
      <c r="Y99" s="47" t="s">
        <v>159</v>
      </c>
      <c r="Z99" s="39"/>
      <c r="AA99" s="17">
        <v>5</v>
      </c>
      <c r="AB99" s="17">
        <f t="shared" si="0"/>
        <v>5</v>
      </c>
      <c r="AC99" s="45"/>
      <c r="AD99" s="49"/>
    </row>
    <row r="100" spans="1:30" s="48" customFormat="1" x14ac:dyDescent="0.25">
      <c r="A100" s="1" t="s">
        <v>4</v>
      </c>
      <c r="B100" s="1" t="s">
        <v>4</v>
      </c>
      <c r="C100" t="s">
        <v>132</v>
      </c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5"/>
      <c r="T100" s="5"/>
      <c r="U100" s="15" t="s">
        <v>146</v>
      </c>
      <c r="V100" s="16">
        <v>3</v>
      </c>
      <c r="W100" s="21" t="s">
        <v>10</v>
      </c>
      <c r="X100" s="15"/>
      <c r="Y100" s="47" t="s">
        <v>160</v>
      </c>
      <c r="Z100" s="39"/>
      <c r="AA100" s="17">
        <v>60</v>
      </c>
      <c r="AB100" s="17">
        <f t="shared" si="0"/>
        <v>180</v>
      </c>
      <c r="AC100" s="45"/>
      <c r="AD100" s="49"/>
    </row>
    <row r="101" spans="1:30" s="48" customFormat="1" x14ac:dyDescent="0.25">
      <c r="A101" s="1" t="s">
        <v>4</v>
      </c>
      <c r="B101" s="1" t="s">
        <v>4</v>
      </c>
      <c r="C101" t="s">
        <v>133</v>
      </c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5"/>
      <c r="T101" s="5"/>
      <c r="U101" s="15" t="s">
        <v>147</v>
      </c>
      <c r="V101" s="16">
        <v>2</v>
      </c>
      <c r="W101" s="21" t="s">
        <v>10</v>
      </c>
      <c r="X101" s="15"/>
      <c r="Y101" s="47" t="s">
        <v>161</v>
      </c>
      <c r="Z101" s="39"/>
      <c r="AA101" s="17">
        <v>4</v>
      </c>
      <c r="AB101" s="17">
        <f t="shared" si="0"/>
        <v>8</v>
      </c>
      <c r="AC101" s="45"/>
      <c r="AD101" s="49"/>
    </row>
    <row r="102" spans="1:30" s="48" customFormat="1" x14ac:dyDescent="0.25">
      <c r="A102" s="1" t="s">
        <v>4</v>
      </c>
      <c r="B102" s="1" t="s">
        <v>4</v>
      </c>
      <c r="C102" t="s">
        <v>134</v>
      </c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5"/>
      <c r="T102" s="5"/>
      <c r="U102" s="15" t="s">
        <v>148</v>
      </c>
      <c r="V102" s="16">
        <v>1</v>
      </c>
      <c r="W102" s="21" t="s">
        <v>10</v>
      </c>
      <c r="X102" s="15"/>
      <c r="Y102" s="47" t="s">
        <v>162</v>
      </c>
      <c r="Z102" s="39"/>
      <c r="AA102" s="17">
        <v>51</v>
      </c>
      <c r="AB102" s="17">
        <f t="shared" si="0"/>
        <v>51</v>
      </c>
      <c r="AC102" s="45"/>
      <c r="AD102" s="49"/>
    </row>
    <row r="103" spans="1:30" s="48" customFormat="1" x14ac:dyDescent="0.25">
      <c r="A103" s="1" t="s">
        <v>4</v>
      </c>
      <c r="B103" s="1" t="s">
        <v>4</v>
      </c>
      <c r="C103" t="s">
        <v>135</v>
      </c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5"/>
      <c r="T103" s="5"/>
      <c r="U103" s="15" t="s">
        <v>149</v>
      </c>
      <c r="V103" s="16">
        <v>1</v>
      </c>
      <c r="W103" s="21" t="s">
        <v>10</v>
      </c>
      <c r="X103" s="15"/>
      <c r="Y103" s="47" t="s">
        <v>163</v>
      </c>
      <c r="Z103" s="39"/>
      <c r="AA103" s="17">
        <v>22</v>
      </c>
      <c r="AB103" s="17">
        <f t="shared" si="0"/>
        <v>22</v>
      </c>
      <c r="AC103" s="45"/>
      <c r="AD103" s="49"/>
    </row>
    <row r="104" spans="1:30" s="48" customFormat="1" x14ac:dyDescent="0.25">
      <c r="A104" s="1" t="s">
        <v>4</v>
      </c>
      <c r="B104" s="1" t="s">
        <v>4</v>
      </c>
      <c r="C104" t="s">
        <v>136</v>
      </c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5"/>
      <c r="T104" s="5"/>
      <c r="U104" s="15" t="s">
        <v>150</v>
      </c>
      <c r="V104" s="16">
        <v>1</v>
      </c>
      <c r="W104" s="21" t="s">
        <v>10</v>
      </c>
      <c r="X104" s="15"/>
      <c r="Y104" s="47" t="s">
        <v>164</v>
      </c>
      <c r="Z104" s="39"/>
      <c r="AA104" s="17">
        <v>190</v>
      </c>
      <c r="AB104" s="17">
        <f t="shared" si="0"/>
        <v>190</v>
      </c>
      <c r="AC104" s="45"/>
      <c r="AD104" s="49"/>
    </row>
    <row r="105" spans="1:30" s="11" customFormat="1" x14ac:dyDescent="0.25">
      <c r="A105" s="1" t="s">
        <v>4</v>
      </c>
      <c r="B105" s="2" t="s">
        <v>24</v>
      </c>
      <c r="C105" s="5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"/>
      <c r="S105" s="54"/>
      <c r="T105" s="5"/>
      <c r="U105" s="15"/>
      <c r="V105" s="16">
        <v>1</v>
      </c>
      <c r="W105" s="21" t="s">
        <v>10</v>
      </c>
      <c r="X105" s="16"/>
      <c r="Y105" s="47"/>
      <c r="Z105" s="39"/>
      <c r="AA105" s="17"/>
      <c r="AB105" s="17">
        <f t="shared" si="0"/>
        <v>0</v>
      </c>
      <c r="AC105" s="16"/>
      <c r="AD105" s="5"/>
    </row>
    <row r="106" spans="1:30" s="11" customFormat="1" x14ac:dyDescent="0.25">
      <c r="A106" s="1" t="s">
        <v>4</v>
      </c>
      <c r="B106" s="3" t="s">
        <v>38</v>
      </c>
      <c r="R106" s="5"/>
      <c r="S106" s="5"/>
      <c r="T106" s="5"/>
      <c r="U106" s="15" t="s">
        <v>39</v>
      </c>
      <c r="V106" s="16">
        <v>1</v>
      </c>
      <c r="W106" s="21" t="s">
        <v>10</v>
      </c>
      <c r="X106" s="16" t="s">
        <v>53</v>
      </c>
      <c r="Y106" s="47"/>
      <c r="Z106" s="39"/>
      <c r="AA106" s="17"/>
      <c r="AB106" s="17">
        <f t="shared" si="0"/>
        <v>0</v>
      </c>
      <c r="AC106" s="16"/>
      <c r="AD106" s="5"/>
    </row>
    <row r="107" spans="1:30" s="11" customFormat="1" x14ac:dyDescent="0.25">
      <c r="A107" s="1" t="s">
        <v>4</v>
      </c>
      <c r="B107" s="1" t="s">
        <v>4</v>
      </c>
      <c r="C107" s="11" t="s">
        <v>41</v>
      </c>
      <c r="R107" s="5"/>
      <c r="S107" s="5"/>
      <c r="T107" s="5"/>
      <c r="U107" s="15" t="s">
        <v>42</v>
      </c>
      <c r="V107" s="16">
        <v>1</v>
      </c>
      <c r="W107" s="21" t="s">
        <v>10</v>
      </c>
      <c r="X107" s="16" t="s">
        <v>53</v>
      </c>
      <c r="Y107" s="47"/>
      <c r="Z107" s="39"/>
      <c r="AA107" s="17"/>
      <c r="AB107" s="17">
        <f t="shared" si="0"/>
        <v>0</v>
      </c>
      <c r="AC107" s="16"/>
      <c r="AD107" s="5"/>
    </row>
    <row r="108" spans="1:30" s="11" customFormat="1" x14ac:dyDescent="0.25">
      <c r="A108" s="1" t="s">
        <v>4</v>
      </c>
      <c r="B108" s="1" t="s">
        <v>4</v>
      </c>
      <c r="C108" s="1" t="s">
        <v>4</v>
      </c>
      <c r="D108" s="11" t="s">
        <v>40</v>
      </c>
      <c r="R108" s="5"/>
      <c r="S108" s="5"/>
      <c r="T108" s="5"/>
      <c r="U108" s="15" t="s">
        <v>43</v>
      </c>
      <c r="V108" s="16">
        <v>1</v>
      </c>
      <c r="W108" s="21" t="s">
        <v>10</v>
      </c>
      <c r="X108" s="16" t="s">
        <v>53</v>
      </c>
      <c r="Y108" s="47"/>
      <c r="Z108" s="39"/>
      <c r="AA108" s="17"/>
      <c r="AB108" s="17">
        <f t="shared" si="0"/>
        <v>0</v>
      </c>
      <c r="AC108" s="16"/>
      <c r="AD108" s="5"/>
    </row>
    <row r="109" spans="1:30" s="11" customFormat="1" x14ac:dyDescent="0.25">
      <c r="A109" s="1" t="s">
        <v>4</v>
      </c>
      <c r="B109" s="1" t="s">
        <v>4</v>
      </c>
      <c r="C109" s="1" t="s">
        <v>4</v>
      </c>
      <c r="D109" s="11" t="s">
        <v>44</v>
      </c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15" t="s">
        <v>45</v>
      </c>
      <c r="V109" s="16">
        <v>1</v>
      </c>
      <c r="W109" s="21" t="s">
        <v>10</v>
      </c>
      <c r="X109" s="16" t="s">
        <v>53</v>
      </c>
      <c r="Y109" s="47"/>
      <c r="Z109" s="56"/>
      <c r="AA109" s="57"/>
      <c r="AB109" s="17">
        <f t="shared" si="0"/>
        <v>0</v>
      </c>
      <c r="AC109" s="56"/>
      <c r="AD109" s="5"/>
    </row>
    <row r="110" spans="1:30" s="5" customFormat="1" x14ac:dyDescent="0.25">
      <c r="A110" s="1" t="s">
        <v>4</v>
      </c>
      <c r="B110" s="1" t="s">
        <v>4</v>
      </c>
      <c r="C110" s="1" t="s">
        <v>4</v>
      </c>
      <c r="D110" s="11" t="s">
        <v>46</v>
      </c>
      <c r="E110" s="11"/>
      <c r="F110" s="11"/>
      <c r="G110" s="11"/>
      <c r="H110" s="11"/>
      <c r="I110" s="11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15" t="s">
        <v>47</v>
      </c>
      <c r="V110" s="16">
        <v>1</v>
      </c>
      <c r="W110" s="21" t="s">
        <v>10</v>
      </c>
      <c r="X110" s="16" t="s">
        <v>53</v>
      </c>
      <c r="Y110" s="47"/>
      <c r="Z110" s="58"/>
      <c r="AA110" s="57"/>
      <c r="AB110" s="17">
        <f t="shared" si="0"/>
        <v>0</v>
      </c>
      <c r="AC110" s="56"/>
    </row>
    <row r="111" spans="1:30" s="5" customFormat="1" x14ac:dyDescent="0.25">
      <c r="A111" s="1" t="s">
        <v>4</v>
      </c>
      <c r="B111" s="1" t="s">
        <v>4</v>
      </c>
      <c r="C111" s="1" t="s">
        <v>4</v>
      </c>
      <c r="D111" s="1" t="s">
        <v>4</v>
      </c>
      <c r="E111" s="11" t="s">
        <v>85</v>
      </c>
      <c r="F111" s="11"/>
      <c r="G111" s="11"/>
      <c r="H111" s="11"/>
      <c r="I111" s="11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15" t="s">
        <v>86</v>
      </c>
      <c r="V111" s="16"/>
      <c r="W111" s="21"/>
      <c r="X111" s="16" t="s">
        <v>94</v>
      </c>
      <c r="Y111" s="47"/>
      <c r="Z111" s="58"/>
      <c r="AA111" s="57"/>
      <c r="AB111" s="17">
        <f t="shared" si="0"/>
        <v>0</v>
      </c>
      <c r="AC111" s="56"/>
    </row>
    <row r="112" spans="1:30" s="11" customFormat="1" x14ac:dyDescent="0.25">
      <c r="A112" s="1" t="s">
        <v>4</v>
      </c>
      <c r="B112" s="1" t="s">
        <v>4</v>
      </c>
      <c r="C112" s="1" t="s">
        <v>4</v>
      </c>
      <c r="D112" s="11" t="s">
        <v>48</v>
      </c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15" t="s">
        <v>49</v>
      </c>
      <c r="V112" s="16"/>
      <c r="W112" s="21" t="s">
        <v>10</v>
      </c>
      <c r="X112" s="16" t="s">
        <v>53</v>
      </c>
      <c r="Y112" s="47"/>
      <c r="Z112" s="58"/>
      <c r="AA112" s="57"/>
      <c r="AB112" s="17">
        <f t="shared" si="0"/>
        <v>0</v>
      </c>
      <c r="AC112" s="56"/>
      <c r="AD112" s="5"/>
    </row>
    <row r="113" spans="1:30" s="5" customFormat="1" x14ac:dyDescent="0.25">
      <c r="A113" s="1" t="s">
        <v>4</v>
      </c>
      <c r="B113" s="1" t="s">
        <v>4</v>
      </c>
      <c r="C113" s="1" t="s">
        <v>4</v>
      </c>
      <c r="D113" s="55" t="s">
        <v>50</v>
      </c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6"/>
      <c r="V113" s="59"/>
      <c r="W113" s="21" t="s">
        <v>10</v>
      </c>
      <c r="X113" s="59"/>
      <c r="Y113" s="47"/>
      <c r="Z113" s="58"/>
      <c r="AA113" s="57"/>
      <c r="AB113" s="17">
        <f t="shared" si="0"/>
        <v>0</v>
      </c>
      <c r="AC113" s="56" t="s">
        <v>51</v>
      </c>
    </row>
    <row r="114" spans="1:30" s="5" customFormat="1" x14ac:dyDescent="0.25">
      <c r="A114" s="1" t="s">
        <v>4</v>
      </c>
      <c r="B114" s="1" t="s">
        <v>4</v>
      </c>
      <c r="C114" s="1" t="s">
        <v>4</v>
      </c>
      <c r="D114" s="55" t="s">
        <v>54</v>
      </c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6"/>
      <c r="V114" s="59"/>
      <c r="W114" s="21" t="s">
        <v>10</v>
      </c>
      <c r="X114" s="59" t="s">
        <v>52</v>
      </c>
      <c r="Y114" s="47"/>
      <c r="Z114" s="58"/>
      <c r="AA114" s="57"/>
      <c r="AB114" s="17">
        <f t="shared" si="0"/>
        <v>0</v>
      </c>
      <c r="AC114" s="56" t="s">
        <v>51</v>
      </c>
    </row>
    <row r="115" spans="1:30" s="5" customFormat="1" x14ac:dyDescent="0.25">
      <c r="A115" s="1" t="s">
        <v>4</v>
      </c>
      <c r="B115" s="1" t="s">
        <v>4</v>
      </c>
      <c r="C115" s="11" t="s">
        <v>55</v>
      </c>
      <c r="D115" s="11"/>
      <c r="E115" s="11"/>
      <c r="F115" s="11"/>
      <c r="G115" s="11"/>
      <c r="H115" s="11"/>
      <c r="I115" s="11"/>
      <c r="J115" s="11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15" t="s">
        <v>56</v>
      </c>
      <c r="V115" s="59">
        <v>1</v>
      </c>
      <c r="W115" s="21" t="s">
        <v>10</v>
      </c>
      <c r="X115" s="16" t="s">
        <v>53</v>
      </c>
      <c r="Y115" s="47"/>
      <c r="Z115" s="58"/>
      <c r="AA115" s="57"/>
      <c r="AB115" s="17">
        <f t="shared" si="0"/>
        <v>0</v>
      </c>
      <c r="AC115" s="56"/>
    </row>
    <row r="116" spans="1:30" s="5" customFormat="1" x14ac:dyDescent="0.25">
      <c r="A116" s="1" t="s">
        <v>4</v>
      </c>
      <c r="B116" s="1" t="s">
        <v>4</v>
      </c>
      <c r="C116" s="1" t="s">
        <v>4</v>
      </c>
      <c r="D116" s="11" t="s">
        <v>59</v>
      </c>
      <c r="E116" s="11"/>
      <c r="F116" s="11"/>
      <c r="G116" s="11"/>
      <c r="H116" s="11"/>
      <c r="I116" s="11"/>
      <c r="J116" s="11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15" t="s">
        <v>57</v>
      </c>
      <c r="V116" s="59">
        <v>1</v>
      </c>
      <c r="W116" s="21" t="s">
        <v>10</v>
      </c>
      <c r="X116" s="16" t="s">
        <v>53</v>
      </c>
      <c r="Y116" s="47"/>
      <c r="Z116" s="58"/>
      <c r="AA116" s="57"/>
      <c r="AB116" s="17">
        <f t="shared" si="0"/>
        <v>0</v>
      </c>
      <c r="AC116" s="56"/>
    </row>
    <row r="117" spans="1:30" s="5" customFormat="1" x14ac:dyDescent="0.25">
      <c r="A117" s="1" t="s">
        <v>4</v>
      </c>
      <c r="B117" s="1" t="s">
        <v>4</v>
      </c>
      <c r="C117" s="1" t="s">
        <v>4</v>
      </c>
      <c r="D117" s="11" t="s">
        <v>60</v>
      </c>
      <c r="E117" s="11"/>
      <c r="F117" s="11"/>
      <c r="G117" s="11"/>
      <c r="H117" s="11"/>
      <c r="I117" s="11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15" t="s">
        <v>58</v>
      </c>
      <c r="V117" s="59">
        <v>1</v>
      </c>
      <c r="W117" s="21" t="s">
        <v>10</v>
      </c>
      <c r="X117" s="16" t="s">
        <v>53</v>
      </c>
      <c r="Y117" s="47"/>
      <c r="Z117" s="58"/>
      <c r="AA117" s="57"/>
      <c r="AB117" s="17">
        <f t="shared" si="0"/>
        <v>0</v>
      </c>
      <c r="AC117" s="56"/>
    </row>
    <row r="118" spans="1:30" s="5" customFormat="1" x14ac:dyDescent="0.25">
      <c r="A118" s="1" t="s">
        <v>4</v>
      </c>
      <c r="B118" s="1" t="s">
        <v>4</v>
      </c>
      <c r="C118" s="1" t="s">
        <v>4</v>
      </c>
      <c r="D118" s="55" t="s">
        <v>50</v>
      </c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6"/>
      <c r="V118" s="59"/>
      <c r="W118" s="21" t="s">
        <v>10</v>
      </c>
      <c r="X118" s="59"/>
      <c r="Y118" s="47"/>
      <c r="Z118" s="58"/>
      <c r="AA118" s="57"/>
      <c r="AB118" s="17">
        <f t="shared" si="0"/>
        <v>0</v>
      </c>
      <c r="AC118" s="56" t="s">
        <v>51</v>
      </c>
    </row>
    <row r="119" spans="1:30" s="5" customFormat="1" x14ac:dyDescent="0.25">
      <c r="A119" s="1" t="s">
        <v>4</v>
      </c>
      <c r="B119" s="1" t="s">
        <v>4</v>
      </c>
      <c r="C119" s="1" t="s">
        <v>4</v>
      </c>
      <c r="D119" s="55" t="s">
        <v>54</v>
      </c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6"/>
      <c r="V119" s="59"/>
      <c r="W119" s="21" t="s">
        <v>10</v>
      </c>
      <c r="X119" s="59" t="s">
        <v>52</v>
      </c>
      <c r="Y119" s="47"/>
      <c r="Z119" s="58"/>
      <c r="AA119" s="57"/>
      <c r="AB119" s="17">
        <f t="shared" si="0"/>
        <v>0</v>
      </c>
      <c r="AC119" s="56" t="s">
        <v>51</v>
      </c>
    </row>
    <row r="120" spans="1:30" s="11" customFormat="1" x14ac:dyDescent="0.25">
      <c r="A120" s="1" t="s">
        <v>4</v>
      </c>
      <c r="B120" s="3" t="s">
        <v>70</v>
      </c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15" t="s">
        <v>71</v>
      </c>
      <c r="V120" s="59">
        <v>1</v>
      </c>
      <c r="W120" s="21" t="s">
        <v>10</v>
      </c>
      <c r="X120" s="16" t="s">
        <v>53</v>
      </c>
      <c r="Y120" s="47"/>
      <c r="Z120" s="58"/>
      <c r="AA120" s="57"/>
      <c r="AB120" s="17">
        <f t="shared" si="0"/>
        <v>0</v>
      </c>
      <c r="AC120" s="56"/>
      <c r="AD120" s="5"/>
    </row>
    <row r="121" spans="1:30" s="11" customFormat="1" x14ac:dyDescent="0.25">
      <c r="A121" s="1" t="s">
        <v>4</v>
      </c>
      <c r="B121" s="1" t="s">
        <v>4</v>
      </c>
      <c r="C121" s="1" t="s">
        <v>4</v>
      </c>
      <c r="D121" s="11" t="s">
        <v>99</v>
      </c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50" t="s">
        <v>100</v>
      </c>
      <c r="V121" s="15">
        <v>1</v>
      </c>
      <c r="W121" s="59" t="s">
        <v>10</v>
      </c>
      <c r="Y121" s="47" t="s">
        <v>101</v>
      </c>
      <c r="Z121" s="56"/>
      <c r="AA121" s="60">
        <v>930</v>
      </c>
      <c r="AB121" s="17">
        <f t="shared" si="0"/>
        <v>930</v>
      </c>
      <c r="AC121" s="56"/>
      <c r="AD121" s="5"/>
    </row>
    <row r="122" spans="1:30" s="5" customFormat="1" x14ac:dyDescent="0.25">
      <c r="A122" s="1" t="s">
        <v>4</v>
      </c>
      <c r="B122" s="1" t="s">
        <v>4</v>
      </c>
      <c r="C122" s="1" t="s">
        <v>4</v>
      </c>
      <c r="D122" s="11" t="s">
        <v>74</v>
      </c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15" t="s">
        <v>72</v>
      </c>
      <c r="V122" s="59">
        <v>1</v>
      </c>
      <c r="W122" s="21" t="s">
        <v>10</v>
      </c>
      <c r="X122" s="16" t="s">
        <v>53</v>
      </c>
      <c r="Y122" s="47"/>
      <c r="Z122" s="58"/>
      <c r="AA122" s="57">
        <v>100</v>
      </c>
      <c r="AB122" s="17">
        <f t="shared" si="0"/>
        <v>100</v>
      </c>
      <c r="AC122" s="56"/>
    </row>
    <row r="123" spans="1:30" s="5" customFormat="1" x14ac:dyDescent="0.25">
      <c r="A123" s="1" t="s">
        <v>4</v>
      </c>
      <c r="B123" s="1" t="s">
        <v>4</v>
      </c>
      <c r="C123" s="1" t="s">
        <v>4</v>
      </c>
      <c r="D123" s="11" t="s">
        <v>75</v>
      </c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15" t="s">
        <v>73</v>
      </c>
      <c r="V123" s="59">
        <v>1</v>
      </c>
      <c r="W123" s="21" t="s">
        <v>10</v>
      </c>
      <c r="X123" s="16" t="s">
        <v>53</v>
      </c>
      <c r="Y123" s="47"/>
      <c r="Z123" s="58"/>
      <c r="AA123" s="57"/>
      <c r="AB123" s="17">
        <f t="shared" si="0"/>
        <v>0</v>
      </c>
      <c r="AC123" s="56"/>
    </row>
    <row r="124" spans="1:30" s="5" customFormat="1" x14ac:dyDescent="0.25">
      <c r="A124" s="1" t="s">
        <v>4</v>
      </c>
      <c r="B124" s="1" t="s">
        <v>4</v>
      </c>
      <c r="C124" s="11" t="s">
        <v>76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15"/>
      <c r="V124" s="59"/>
      <c r="W124" s="59"/>
      <c r="X124" s="59"/>
      <c r="Y124" s="47"/>
      <c r="Z124" s="58"/>
      <c r="AA124" s="57"/>
      <c r="AB124" s="17">
        <f t="shared" si="0"/>
        <v>0</v>
      </c>
      <c r="AC124" s="56"/>
    </row>
    <row r="125" spans="1:30" s="5" customFormat="1" x14ac:dyDescent="0.25">
      <c r="A125" s="1" t="s">
        <v>4</v>
      </c>
      <c r="B125" s="1" t="s">
        <v>4</v>
      </c>
      <c r="C125" s="11" t="s">
        <v>77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16"/>
      <c r="V125" s="16"/>
      <c r="W125" s="16"/>
      <c r="X125" s="16"/>
      <c r="Y125" s="47"/>
      <c r="Z125" s="16"/>
      <c r="AA125" s="16"/>
      <c r="AB125" s="17">
        <f t="shared" si="0"/>
        <v>0</v>
      </c>
      <c r="AC125" s="56"/>
      <c r="AD125"/>
    </row>
    <row r="126" spans="1:30" s="5" customFormat="1" x14ac:dyDescent="0.25">
      <c r="A126" s="1" t="s">
        <v>4</v>
      </c>
      <c r="B126" s="3" t="s">
        <v>88</v>
      </c>
      <c r="C126" s="11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15" t="s">
        <v>82</v>
      </c>
      <c r="V126" s="61">
        <v>2</v>
      </c>
      <c r="W126" s="59" t="s">
        <v>10</v>
      </c>
      <c r="X126" s="59"/>
      <c r="Y126" s="47"/>
      <c r="Z126" s="56"/>
      <c r="AA126" s="62"/>
      <c r="AB126" s="17">
        <f t="shared" si="0"/>
        <v>0</v>
      </c>
      <c r="AC126" s="56"/>
      <c r="AD126"/>
    </row>
    <row r="127" spans="1:30" s="5" customFormat="1" x14ac:dyDescent="0.25">
      <c r="A127" s="1" t="s">
        <v>4</v>
      </c>
      <c r="B127" s="1" t="s">
        <v>4</v>
      </c>
      <c r="C127" s="11" t="s">
        <v>91</v>
      </c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16" t="s">
        <v>90</v>
      </c>
      <c r="V127" s="15"/>
      <c r="W127" s="59"/>
      <c r="X127" s="59" t="s">
        <v>92</v>
      </c>
      <c r="Y127" s="47" t="s">
        <v>93</v>
      </c>
      <c r="Z127" s="56"/>
      <c r="AA127" s="60">
        <v>570</v>
      </c>
      <c r="AB127" s="17">
        <f t="shared" si="0"/>
        <v>0</v>
      </c>
      <c r="AC127" s="56"/>
      <c r="AD127"/>
    </row>
    <row r="128" spans="1:30" s="11" customFormat="1" x14ac:dyDescent="0.25">
      <c r="A128" s="1" t="s">
        <v>4</v>
      </c>
      <c r="B128" s="1" t="s">
        <v>4</v>
      </c>
      <c r="C128" s="3" t="s">
        <v>81</v>
      </c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15" t="s">
        <v>89</v>
      </c>
      <c r="V128" s="59">
        <v>2</v>
      </c>
      <c r="W128" s="21" t="s">
        <v>10</v>
      </c>
      <c r="X128" s="16" t="s">
        <v>53</v>
      </c>
      <c r="Y128" s="47"/>
      <c r="Z128" s="58"/>
      <c r="AA128" s="57"/>
      <c r="AB128" s="17">
        <f t="shared" si="0"/>
        <v>0</v>
      </c>
      <c r="AC128" s="56"/>
      <c r="AD128" s="5"/>
    </row>
    <row r="129" spans="1:30" s="5" customFormat="1" x14ac:dyDescent="0.25">
      <c r="A129" s="1" t="s">
        <v>4</v>
      </c>
      <c r="B129" s="1" t="s">
        <v>4</v>
      </c>
      <c r="C129" s="11" t="s">
        <v>83</v>
      </c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56"/>
      <c r="V129" s="59">
        <v>2</v>
      </c>
      <c r="W129" s="21" t="s">
        <v>10</v>
      </c>
      <c r="X129" s="59"/>
      <c r="Y129" s="47"/>
      <c r="Z129" s="58"/>
      <c r="AA129" s="57"/>
      <c r="AB129" s="17">
        <f t="shared" si="0"/>
        <v>0</v>
      </c>
      <c r="AC129" s="56"/>
    </row>
    <row r="130" spans="1:30" s="5" customFormat="1" x14ac:dyDescent="0.25">
      <c r="A130" s="1" t="s">
        <v>4</v>
      </c>
      <c r="B130" s="1" t="s">
        <v>4</v>
      </c>
      <c r="C130" s="11" t="s">
        <v>84</v>
      </c>
      <c r="D130" s="3"/>
      <c r="E130" s="3"/>
      <c r="F130" s="3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6"/>
      <c r="V130" s="59">
        <v>2</v>
      </c>
      <c r="W130" s="21" t="s">
        <v>10</v>
      </c>
      <c r="X130" s="59"/>
      <c r="Y130" s="47"/>
      <c r="Z130" s="58"/>
      <c r="AA130" s="57"/>
      <c r="AB130" s="17">
        <f t="shared" si="0"/>
        <v>0</v>
      </c>
      <c r="AC130" s="56"/>
    </row>
    <row r="131" spans="1:30" s="5" customFormat="1" x14ac:dyDescent="0.25">
      <c r="A131" s="1" t="s">
        <v>4</v>
      </c>
      <c r="B131" s="3" t="s">
        <v>389</v>
      </c>
      <c r="C131" s="11"/>
      <c r="D131" s="3"/>
      <c r="E131" s="3"/>
      <c r="F131" s="3"/>
      <c r="G131" s="3"/>
      <c r="H131" s="3"/>
      <c r="I131" s="3"/>
      <c r="J131" s="3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15" t="s">
        <v>391</v>
      </c>
      <c r="V131" s="56">
        <v>1</v>
      </c>
      <c r="W131" s="21" t="s">
        <v>10</v>
      </c>
      <c r="X131" s="56" t="s">
        <v>392</v>
      </c>
      <c r="Y131" s="47" t="s">
        <v>393</v>
      </c>
      <c r="Z131" s="58"/>
      <c r="AA131" s="57">
        <v>1700</v>
      </c>
      <c r="AB131" s="17">
        <f t="shared" si="0"/>
        <v>1700</v>
      </c>
      <c r="AC131" s="56"/>
    </row>
    <row r="132" spans="1:30" s="5" customFormat="1" x14ac:dyDescent="0.25">
      <c r="A132" s="1" t="s">
        <v>4</v>
      </c>
      <c r="B132" s="1" t="s">
        <v>4</v>
      </c>
      <c r="C132" s="11" t="s">
        <v>390</v>
      </c>
      <c r="D132" s="3"/>
      <c r="E132" s="3"/>
      <c r="F132" s="3"/>
      <c r="G132" s="3"/>
      <c r="H132" s="3"/>
      <c r="I132" s="3"/>
      <c r="J132" s="3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6"/>
      <c r="V132" s="56"/>
      <c r="W132" s="56"/>
      <c r="X132" s="56"/>
      <c r="Y132" s="47"/>
      <c r="Z132" s="58"/>
      <c r="AA132" s="57"/>
      <c r="AB132" s="17"/>
      <c r="AC132" s="56"/>
    </row>
    <row r="133" spans="1:30" s="11" customFormat="1" x14ac:dyDescent="0.25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6"/>
      <c r="V133" s="56"/>
      <c r="W133" s="56"/>
      <c r="X133" s="56"/>
      <c r="Y133" s="47"/>
      <c r="Z133" s="58"/>
      <c r="AA133" s="57"/>
      <c r="AB133" s="17"/>
      <c r="AC133" s="56"/>
      <c r="AD133" s="5"/>
    </row>
    <row r="134" spans="1:30" s="5" customFormat="1" x14ac:dyDescent="0.25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6"/>
      <c r="V134" s="56"/>
      <c r="W134" s="56"/>
      <c r="X134" s="56"/>
      <c r="Y134" s="47"/>
      <c r="Z134" s="58"/>
      <c r="AA134" s="57"/>
      <c r="AB134" s="17"/>
      <c r="AC134" s="56"/>
    </row>
    <row r="135" spans="1:30" s="5" customFormat="1" x14ac:dyDescent="0.25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6"/>
      <c r="V135" s="56"/>
      <c r="W135" s="56"/>
      <c r="X135" s="56"/>
      <c r="Y135" s="47"/>
      <c r="Z135" s="58"/>
      <c r="AA135" s="57"/>
      <c r="AB135" s="17"/>
      <c r="AC135" s="56"/>
    </row>
    <row r="136" spans="1:30" s="5" customFormat="1" x14ac:dyDescent="0.25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6"/>
      <c r="V136" s="56"/>
      <c r="W136" s="56"/>
      <c r="X136" s="56"/>
      <c r="Y136" s="47"/>
      <c r="Z136" s="58"/>
      <c r="AA136" s="57"/>
      <c r="AB136" s="17"/>
      <c r="AC136" s="56"/>
    </row>
    <row r="137" spans="1:30" s="5" customFormat="1" x14ac:dyDescent="0.25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6"/>
      <c r="V137" s="56"/>
      <c r="W137" s="56"/>
      <c r="X137" s="56"/>
      <c r="Y137" s="47"/>
      <c r="Z137" s="58"/>
      <c r="AA137" s="57"/>
      <c r="AB137" s="17"/>
      <c r="AC137" s="56"/>
    </row>
    <row r="138" spans="1:30" s="5" customFormat="1" x14ac:dyDescent="0.25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6"/>
      <c r="V138" s="56"/>
      <c r="W138" s="56"/>
      <c r="X138" s="56"/>
      <c r="Y138" s="47"/>
      <c r="Z138" s="58"/>
      <c r="AA138" s="57"/>
      <c r="AB138" s="17"/>
      <c r="AC138" s="56"/>
    </row>
    <row r="139" spans="1:30" s="5" customFormat="1" x14ac:dyDescent="0.25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6"/>
      <c r="V139" s="56"/>
      <c r="W139" s="56"/>
      <c r="X139" s="56"/>
      <c r="Y139" s="47"/>
      <c r="Z139" s="58"/>
      <c r="AA139" s="57"/>
      <c r="AB139" s="17"/>
      <c r="AC139" s="56"/>
    </row>
    <row r="140" spans="1:30" s="5" customFormat="1" x14ac:dyDescent="0.25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6"/>
      <c r="V140" s="56"/>
      <c r="W140" s="56"/>
      <c r="X140" s="56"/>
      <c r="Y140" s="47"/>
      <c r="Z140" s="58"/>
      <c r="AA140" s="57"/>
      <c r="AB140" s="17"/>
      <c r="AC140" s="56"/>
    </row>
    <row r="141" spans="1:30" s="5" customFormat="1" x14ac:dyDescent="0.25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6"/>
      <c r="V141" s="56"/>
      <c r="W141" s="56"/>
      <c r="X141" s="56"/>
      <c r="Y141" s="47"/>
      <c r="Z141" s="58"/>
      <c r="AA141" s="57"/>
      <c r="AB141" s="17"/>
      <c r="AC141" s="56"/>
    </row>
    <row r="142" spans="1:30" s="5" customFormat="1" x14ac:dyDescent="0.25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6"/>
      <c r="V142" s="56"/>
      <c r="W142" s="56"/>
      <c r="X142" s="56"/>
      <c r="Y142" s="47"/>
      <c r="Z142" s="58"/>
      <c r="AA142" s="57"/>
      <c r="AB142" s="17"/>
      <c r="AC142" s="56"/>
    </row>
    <row r="143" spans="1:30" s="5" customFormat="1" x14ac:dyDescent="0.25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6"/>
      <c r="V143" s="56"/>
      <c r="W143" s="56"/>
      <c r="X143" s="56"/>
      <c r="Y143" s="47"/>
      <c r="Z143" s="58"/>
      <c r="AA143" s="57"/>
      <c r="AB143" s="17"/>
      <c r="AC143" s="56"/>
    </row>
    <row r="144" spans="1:30" s="11" customFormat="1" x14ac:dyDescent="0.25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6"/>
      <c r="V144" s="56"/>
      <c r="W144" s="56"/>
      <c r="X144" s="56"/>
      <c r="Y144" s="47"/>
      <c r="Z144" s="58"/>
      <c r="AA144" s="57"/>
      <c r="AB144" s="17"/>
      <c r="AC144" s="56"/>
      <c r="AD144" s="5"/>
    </row>
    <row r="145" spans="1:29" s="5" customFormat="1" x14ac:dyDescent="0.25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6"/>
      <c r="V145" s="56"/>
      <c r="W145" s="56"/>
      <c r="X145" s="56"/>
      <c r="Y145" s="47"/>
      <c r="Z145" s="58"/>
      <c r="AA145" s="57"/>
      <c r="AB145" s="17"/>
      <c r="AC145" s="56"/>
    </row>
    <row r="146" spans="1:29" s="5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 s="47"/>
      <c r="Z146" s="36"/>
      <c r="AA146" s="52"/>
      <c r="AB146"/>
      <c r="AC146"/>
    </row>
    <row r="147" spans="1:29" s="5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 s="47"/>
      <c r="Z147" s="36"/>
      <c r="AA147" s="52"/>
      <c r="AB147"/>
      <c r="AC147"/>
    </row>
    <row r="148" spans="1:29" s="5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 s="47"/>
      <c r="Z148" s="36"/>
      <c r="AA148" s="52"/>
      <c r="AB148"/>
      <c r="AC148"/>
    </row>
    <row r="149" spans="1:29" s="5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 s="47"/>
      <c r="Z149" s="36"/>
      <c r="AA149" s="52"/>
      <c r="AB149"/>
      <c r="AC149"/>
    </row>
    <row r="150" spans="1:29" s="5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 s="47"/>
      <c r="Z150" s="36"/>
      <c r="AA150" s="52"/>
      <c r="AB150"/>
      <c r="AC150"/>
    </row>
    <row r="151" spans="1:29" s="5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 s="47"/>
      <c r="Z151" s="36"/>
      <c r="AA151" s="52"/>
      <c r="AB151"/>
      <c r="AC151"/>
    </row>
    <row r="152" spans="1:29" s="5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 s="47"/>
      <c r="Z152" s="36"/>
      <c r="AA152" s="52"/>
      <c r="AB152"/>
      <c r="AC152"/>
    </row>
    <row r="153" spans="1:29" s="5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 s="47"/>
      <c r="Z153" s="36"/>
      <c r="AA153" s="52"/>
      <c r="AB153"/>
      <c r="AC153"/>
    </row>
    <row r="154" spans="1:29" s="5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 s="47"/>
      <c r="Z154" s="36"/>
      <c r="AA154" s="52"/>
      <c r="AB154"/>
      <c r="AC154"/>
    </row>
    <row r="155" spans="1:29" s="5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 s="47"/>
      <c r="Z155" s="36"/>
      <c r="AA155" s="52"/>
      <c r="AB155"/>
      <c r="AC155"/>
    </row>
    <row r="156" spans="1:29" s="5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 s="47"/>
      <c r="Z156" s="36"/>
      <c r="AA156" s="52"/>
      <c r="AB156"/>
      <c r="AC156"/>
    </row>
    <row r="157" spans="1:29" s="5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 s="47"/>
      <c r="Z157" s="36"/>
      <c r="AA157" s="52"/>
      <c r="AB157"/>
      <c r="AC157"/>
    </row>
    <row r="158" spans="1:29" s="5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 s="47"/>
      <c r="Z158" s="36"/>
      <c r="AA158" s="52"/>
      <c r="AB158"/>
      <c r="AC158"/>
    </row>
    <row r="159" spans="1:29" s="5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 s="47"/>
      <c r="Z159" s="36"/>
      <c r="AA159" s="52"/>
      <c r="AB159"/>
      <c r="AC159"/>
    </row>
    <row r="160" spans="1:29" s="5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 s="47"/>
      <c r="Z160" s="36"/>
      <c r="AA160" s="52"/>
      <c r="AB160"/>
      <c r="AC160"/>
    </row>
    <row r="161" spans="1:29" s="5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 s="47"/>
      <c r="Z161" s="36"/>
      <c r="AA161" s="52"/>
      <c r="AB161"/>
      <c r="AC161"/>
    </row>
    <row r="162" spans="1:29" s="5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 s="47"/>
      <c r="Z162" s="36"/>
      <c r="AA162" s="52"/>
      <c r="AB162"/>
      <c r="AC162"/>
    </row>
    <row r="163" spans="1:29" s="5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 s="47"/>
      <c r="Z163" s="36"/>
      <c r="AA163" s="52"/>
      <c r="AB163"/>
      <c r="AC163"/>
    </row>
    <row r="164" spans="1:29" s="5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 s="47"/>
      <c r="Z164" s="36"/>
      <c r="AA164" s="52"/>
      <c r="AB164"/>
      <c r="AC164"/>
    </row>
    <row r="165" spans="1:29" s="5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 s="47"/>
      <c r="Z165" s="36"/>
      <c r="AA165" s="52"/>
      <c r="AB165"/>
      <c r="AC165"/>
    </row>
    <row r="166" spans="1:29" s="5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 s="47"/>
      <c r="Z166" s="36"/>
      <c r="AA166" s="52"/>
      <c r="AB166"/>
      <c r="AC166"/>
    </row>
    <row r="167" spans="1:29" s="5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 s="47"/>
      <c r="Z167" s="36"/>
      <c r="AA167" s="52"/>
      <c r="AB167"/>
      <c r="AC167"/>
    </row>
    <row r="168" spans="1:29" s="5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 s="47"/>
      <c r="Z168" s="36"/>
      <c r="AA168" s="52"/>
      <c r="AB168"/>
      <c r="AC168"/>
    </row>
    <row r="169" spans="1:29" s="5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 s="47"/>
      <c r="Z169" s="36"/>
      <c r="AA169" s="52"/>
      <c r="AB169"/>
      <c r="AC169"/>
    </row>
    <row r="170" spans="1:29" s="5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 s="47"/>
      <c r="Z170" s="36"/>
      <c r="AA170" s="52"/>
      <c r="AB170"/>
      <c r="AC170"/>
    </row>
    <row r="171" spans="1:29" s="5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 s="47"/>
      <c r="Z171" s="36"/>
      <c r="AA171" s="52"/>
      <c r="AB171"/>
      <c r="AC171"/>
    </row>
    <row r="172" spans="1:29" s="5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 s="47"/>
      <c r="Z172" s="36"/>
      <c r="AA172" s="52"/>
      <c r="AB172"/>
      <c r="AC172"/>
    </row>
    <row r="173" spans="1:29" s="5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 s="47"/>
      <c r="Z173" s="36"/>
      <c r="AA173" s="52"/>
      <c r="AB173"/>
      <c r="AC173"/>
    </row>
    <row r="174" spans="1:29" s="5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 s="47"/>
      <c r="Z174" s="36"/>
      <c r="AA174" s="52"/>
      <c r="AB174"/>
      <c r="AC174"/>
    </row>
    <row r="175" spans="1:29" s="5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 s="47"/>
      <c r="Z175" s="36"/>
      <c r="AA175" s="52"/>
      <c r="AB175"/>
      <c r="AC175"/>
    </row>
    <row r="176" spans="1:29" s="5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 s="47"/>
      <c r="Z176" s="36"/>
      <c r="AA176" s="52"/>
      <c r="AB176"/>
      <c r="AC176"/>
    </row>
    <row r="177" spans="1:29" s="5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 s="47"/>
      <c r="Z177" s="36"/>
      <c r="AA177" s="52"/>
      <c r="AB177"/>
      <c r="AC177"/>
    </row>
    <row r="178" spans="1:29" s="5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 s="47"/>
      <c r="Z178" s="36"/>
      <c r="AA178" s="52"/>
      <c r="AB178"/>
      <c r="AC178"/>
    </row>
    <row r="179" spans="1:29" s="5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 s="47"/>
      <c r="Z179" s="36"/>
      <c r="AA179" s="52"/>
      <c r="AB179"/>
      <c r="AC179"/>
    </row>
    <row r="180" spans="1:29" s="5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 s="47"/>
      <c r="Z180" s="36"/>
      <c r="AA180" s="52"/>
      <c r="AB180"/>
      <c r="AC180"/>
    </row>
    <row r="181" spans="1:29" s="5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 s="47"/>
      <c r="Z181" s="36"/>
      <c r="AA181" s="52"/>
      <c r="AB181"/>
      <c r="AC181"/>
    </row>
    <row r="182" spans="1:29" s="5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 s="47"/>
      <c r="Z182" s="36"/>
      <c r="AA182" s="52"/>
      <c r="AB182"/>
      <c r="AC182"/>
    </row>
    <row r="183" spans="1:29" s="5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 s="47"/>
      <c r="Z183" s="36"/>
      <c r="AA183" s="52"/>
      <c r="AB183"/>
      <c r="AC183"/>
    </row>
    <row r="184" spans="1:29" s="5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 s="47"/>
      <c r="Z184" s="36"/>
      <c r="AA184" s="52"/>
      <c r="AB184"/>
      <c r="AC184"/>
    </row>
    <row r="185" spans="1:29" s="5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 s="47"/>
      <c r="Z185" s="36"/>
      <c r="AA185" s="52"/>
      <c r="AB185"/>
      <c r="AC185"/>
    </row>
    <row r="186" spans="1:29" s="5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 s="47"/>
      <c r="Z186" s="36"/>
      <c r="AA186" s="52"/>
      <c r="AB186"/>
      <c r="AC186"/>
    </row>
    <row r="187" spans="1:29" s="5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 s="47"/>
      <c r="Z187" s="36"/>
      <c r="AA187" s="52"/>
      <c r="AB187"/>
      <c r="AC187"/>
    </row>
    <row r="188" spans="1:29" s="5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 s="47"/>
      <c r="Z188" s="36"/>
      <c r="AA188" s="52"/>
      <c r="AB188"/>
      <c r="AC188"/>
    </row>
    <row r="189" spans="1:29" s="5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 s="47"/>
      <c r="Z189" s="36"/>
      <c r="AA189" s="52"/>
      <c r="AB189"/>
      <c r="AC189"/>
    </row>
    <row r="190" spans="1:29" s="5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 s="47"/>
      <c r="Z190" s="36"/>
      <c r="AA190" s="52"/>
      <c r="AB190"/>
      <c r="AC190"/>
    </row>
    <row r="191" spans="1:29" s="5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 s="47"/>
      <c r="Z191" s="36"/>
      <c r="AA191" s="52"/>
      <c r="AB191"/>
      <c r="AC191"/>
    </row>
    <row r="192" spans="1:29" s="5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 s="47"/>
      <c r="Z192" s="36"/>
      <c r="AA192" s="52"/>
      <c r="AB192"/>
      <c r="AC192"/>
    </row>
  </sheetData>
  <customSheetViews>
    <customSheetView guid="{81DE55B0-85A9-418C-8421-697090D2269D}" showGridLines="0">
      <pane ySplit="3" topLeftCell="A4" activePane="bottomLeft" state="frozen"/>
      <selection pane="bottomLeft" activeCell="H9" sqref="H9"/>
      <pageMargins left="0.7" right="0.7" top="0.75" bottom="0.75" header="0.3" footer="0.3"/>
    </customSheetView>
  </customSheetViews>
  <mergeCells count="1">
    <mergeCell ref="A3:T3"/>
  </mergeCells>
  <phoneticPr fontId="6" type="noConversion"/>
  <hyperlinks>
    <hyperlink ref="Y11" r:id="rId1" xr:uid="{00000000-0004-0000-0000-000000000000}"/>
    <hyperlink ref="Y6" r:id="rId2" xr:uid="{00000000-0004-0000-0000-000001000000}"/>
    <hyperlink ref="Y127" r:id="rId3" xr:uid="{00000000-0004-0000-0000-000002000000}"/>
    <hyperlink ref="Y89" r:id="rId4" xr:uid="{00000000-0004-0000-0000-000003000000}"/>
    <hyperlink ref="Y121" r:id="rId5" xr:uid="{00000000-0004-0000-0000-000004000000}"/>
    <hyperlink ref="Y7" r:id="rId6" xr:uid="{00000000-0004-0000-0000-000005000000}"/>
    <hyperlink ref="Y9" r:id="rId7" xr:uid="{00000000-0004-0000-0000-000007000000}"/>
    <hyperlink ref="Y10" r:id="rId8" xr:uid="{00000000-0004-0000-0000-000008000000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Update_Library">
                <anchor moveWithCells="1" sizeWithCells="1"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5</xdr:col>
                    <xdr:colOff>180975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N20"/>
  <sheetViews>
    <sheetView showGridLines="0" topLeftCell="A4" workbookViewId="0">
      <selection activeCell="B17" sqref="B17"/>
    </sheetView>
  </sheetViews>
  <sheetFormatPr defaultRowHeight="15" x14ac:dyDescent="0.25"/>
  <cols>
    <col min="1" max="2" width="31.5703125" customWidth="1"/>
    <col min="3" max="4" width="4.85546875" customWidth="1"/>
    <col min="5" max="5" width="31" customWidth="1"/>
    <col min="6" max="14" width="3.140625" customWidth="1"/>
  </cols>
  <sheetData>
    <row r="1" spans="1:14" x14ac:dyDescent="0.25">
      <c r="A1" s="26"/>
      <c r="B1" s="26"/>
      <c r="E1" s="68"/>
      <c r="F1" s="66">
        <f>B1</f>
        <v>0</v>
      </c>
      <c r="G1" s="66">
        <f>B2</f>
        <v>0</v>
      </c>
      <c r="H1" s="66">
        <f>B3</f>
        <v>0</v>
      </c>
      <c r="I1" s="66">
        <f>B4</f>
        <v>0</v>
      </c>
      <c r="J1" s="66">
        <f>A6</f>
        <v>0</v>
      </c>
      <c r="K1" s="66">
        <f>A7</f>
        <v>0</v>
      </c>
      <c r="L1" s="66">
        <f>A8</f>
        <v>0</v>
      </c>
      <c r="M1" s="66">
        <f>B6</f>
        <v>0</v>
      </c>
      <c r="N1" s="66">
        <f>B7</f>
        <v>0</v>
      </c>
    </row>
    <row r="2" spans="1:14" x14ac:dyDescent="0.25">
      <c r="A2" s="27"/>
      <c r="B2" s="27"/>
      <c r="E2" s="68"/>
      <c r="F2" s="66"/>
      <c r="G2" s="66"/>
      <c r="H2" s="66"/>
      <c r="I2" s="66"/>
      <c r="J2" s="66"/>
      <c r="K2" s="66"/>
      <c r="L2" s="66"/>
      <c r="M2" s="66"/>
      <c r="N2" s="66"/>
    </row>
    <row r="3" spans="1:14" x14ac:dyDescent="0.25">
      <c r="A3" s="27"/>
      <c r="B3" s="27"/>
      <c r="E3" s="68"/>
      <c r="F3" s="66"/>
      <c r="G3" s="66"/>
      <c r="H3" s="66"/>
      <c r="I3" s="66"/>
      <c r="J3" s="66"/>
      <c r="K3" s="66"/>
      <c r="L3" s="66"/>
      <c r="M3" s="66"/>
      <c r="N3" s="66"/>
    </row>
    <row r="4" spans="1:14" ht="15.75" thickBot="1" x14ac:dyDescent="0.3">
      <c r="A4" s="28"/>
      <c r="B4" s="28"/>
      <c r="E4" s="68"/>
      <c r="F4" s="66"/>
      <c r="G4" s="66"/>
      <c r="H4" s="66"/>
      <c r="I4" s="66"/>
      <c r="J4" s="66"/>
      <c r="K4" s="66"/>
      <c r="L4" s="66"/>
      <c r="M4" s="66"/>
      <c r="N4" s="66"/>
    </row>
    <row r="5" spans="1:14" ht="15.75" thickBot="1" x14ac:dyDescent="0.3">
      <c r="E5" s="68"/>
      <c r="F5" s="66"/>
      <c r="G5" s="66"/>
      <c r="H5" s="66"/>
      <c r="I5" s="66"/>
      <c r="J5" s="66"/>
      <c r="K5" s="66"/>
      <c r="L5" s="66"/>
      <c r="M5" s="66"/>
      <c r="N5" s="66"/>
    </row>
    <row r="6" spans="1:14" x14ac:dyDescent="0.25">
      <c r="A6" s="26"/>
      <c r="B6" s="29"/>
      <c r="E6" s="68"/>
      <c r="F6" s="66"/>
      <c r="G6" s="66"/>
      <c r="H6" s="66"/>
      <c r="I6" s="66"/>
      <c r="J6" s="66"/>
      <c r="K6" s="66"/>
      <c r="L6" s="66"/>
      <c r="M6" s="66"/>
      <c r="N6" s="66"/>
    </row>
    <row r="7" spans="1:14" ht="15.75" thickBot="1" x14ac:dyDescent="0.3">
      <c r="A7" s="27"/>
      <c r="B7" s="30"/>
      <c r="E7" s="69"/>
      <c r="F7" s="67"/>
      <c r="G7" s="67"/>
      <c r="H7" s="67"/>
      <c r="I7" s="67"/>
      <c r="J7" s="67"/>
      <c r="K7" s="67"/>
      <c r="L7" s="67"/>
      <c r="M7" s="67"/>
      <c r="N7" s="67"/>
    </row>
    <row r="8" spans="1:14" ht="15.75" thickBot="1" x14ac:dyDescent="0.3">
      <c r="A8" s="28"/>
      <c r="E8" s="31">
        <f>A1</f>
        <v>0</v>
      </c>
      <c r="F8" s="32">
        <v>1</v>
      </c>
      <c r="G8" s="32">
        <v>1</v>
      </c>
      <c r="H8" s="32">
        <v>0</v>
      </c>
      <c r="I8" s="32">
        <v>0</v>
      </c>
      <c r="J8" s="32">
        <v>1</v>
      </c>
      <c r="K8" s="32">
        <v>1</v>
      </c>
      <c r="L8" s="32">
        <v>0</v>
      </c>
      <c r="M8" s="32">
        <v>1</v>
      </c>
      <c r="N8" s="32">
        <v>1</v>
      </c>
    </row>
    <row r="9" spans="1:14" x14ac:dyDescent="0.25">
      <c r="E9" s="31">
        <f t="shared" ref="E9:E11" si="0">A2</f>
        <v>0</v>
      </c>
      <c r="F9" s="32">
        <v>0</v>
      </c>
      <c r="G9" s="32">
        <v>0</v>
      </c>
      <c r="H9" s="32">
        <v>1</v>
      </c>
      <c r="I9" s="32">
        <v>1</v>
      </c>
      <c r="J9" s="32">
        <v>1</v>
      </c>
      <c r="K9" s="32">
        <v>0</v>
      </c>
      <c r="L9" s="32">
        <v>0</v>
      </c>
      <c r="M9" s="32">
        <v>1</v>
      </c>
      <c r="N9" s="32">
        <v>0</v>
      </c>
    </row>
    <row r="10" spans="1:14" x14ac:dyDescent="0.25">
      <c r="E10" s="31">
        <f t="shared" si="0"/>
        <v>0</v>
      </c>
      <c r="F10" s="32">
        <v>0</v>
      </c>
      <c r="G10" s="32">
        <v>0</v>
      </c>
      <c r="H10" s="32">
        <v>1</v>
      </c>
      <c r="I10" s="32">
        <v>1</v>
      </c>
      <c r="J10" s="32">
        <v>1</v>
      </c>
      <c r="K10" s="32">
        <v>0</v>
      </c>
      <c r="L10" s="32">
        <v>0</v>
      </c>
      <c r="M10" s="32">
        <v>1</v>
      </c>
      <c r="N10" s="32">
        <v>0</v>
      </c>
    </row>
    <row r="11" spans="1:14" x14ac:dyDescent="0.25">
      <c r="E11" s="31">
        <f t="shared" si="0"/>
        <v>0</v>
      </c>
      <c r="F11" s="32">
        <v>0</v>
      </c>
      <c r="G11" s="32">
        <v>0</v>
      </c>
      <c r="H11" s="32">
        <v>1</v>
      </c>
      <c r="I11" s="32">
        <v>1</v>
      </c>
      <c r="J11" s="32">
        <v>1</v>
      </c>
      <c r="K11" s="32">
        <v>0</v>
      </c>
      <c r="L11" s="32">
        <v>1</v>
      </c>
      <c r="M11" s="32">
        <v>1</v>
      </c>
      <c r="N11" s="32">
        <v>0</v>
      </c>
    </row>
    <row r="12" spans="1:14" x14ac:dyDescent="0.25">
      <c r="E12" s="31">
        <f>B1</f>
        <v>0</v>
      </c>
      <c r="F12" s="32">
        <v>1</v>
      </c>
      <c r="G12" s="32">
        <v>0</v>
      </c>
      <c r="H12" s="32">
        <v>1</v>
      </c>
      <c r="I12" s="32">
        <v>1</v>
      </c>
      <c r="J12" s="32">
        <v>1</v>
      </c>
      <c r="K12" s="32">
        <v>1</v>
      </c>
      <c r="L12" s="32">
        <v>0</v>
      </c>
      <c r="M12" s="32">
        <v>1</v>
      </c>
      <c r="N12" s="32">
        <v>1</v>
      </c>
    </row>
    <row r="13" spans="1:14" x14ac:dyDescent="0.25">
      <c r="E13" s="31">
        <f t="shared" ref="E13:E15" si="1">B2</f>
        <v>0</v>
      </c>
      <c r="F13" s="32"/>
      <c r="G13" s="32">
        <v>1</v>
      </c>
      <c r="H13" s="32">
        <v>1</v>
      </c>
      <c r="I13" s="32">
        <v>0</v>
      </c>
      <c r="J13" s="32">
        <v>1</v>
      </c>
      <c r="K13" s="32">
        <v>1</v>
      </c>
      <c r="L13" s="32">
        <v>0</v>
      </c>
      <c r="M13" s="32">
        <v>1</v>
      </c>
      <c r="N13" s="32">
        <v>1</v>
      </c>
    </row>
    <row r="14" spans="1:14" x14ac:dyDescent="0.25">
      <c r="E14" s="31">
        <f t="shared" si="1"/>
        <v>0</v>
      </c>
      <c r="F14" s="33"/>
      <c r="G14" s="34"/>
      <c r="H14" s="32">
        <v>1</v>
      </c>
      <c r="I14" s="32">
        <v>0</v>
      </c>
      <c r="J14" s="32">
        <v>1</v>
      </c>
      <c r="K14" s="32">
        <v>0</v>
      </c>
      <c r="L14" s="32">
        <v>1</v>
      </c>
      <c r="M14" s="32">
        <v>1</v>
      </c>
      <c r="N14" s="32">
        <v>0</v>
      </c>
    </row>
    <row r="15" spans="1:14" x14ac:dyDescent="0.25">
      <c r="E15" s="31">
        <f t="shared" si="1"/>
        <v>0</v>
      </c>
      <c r="F15" s="33"/>
      <c r="G15" s="35"/>
      <c r="H15" s="34"/>
      <c r="I15" s="32">
        <v>1</v>
      </c>
      <c r="J15" s="32">
        <v>1</v>
      </c>
      <c r="K15" s="32">
        <v>0</v>
      </c>
      <c r="L15" s="32">
        <v>1</v>
      </c>
      <c r="M15" s="32">
        <v>1</v>
      </c>
      <c r="N15" s="32">
        <v>0</v>
      </c>
    </row>
    <row r="16" spans="1:14" x14ac:dyDescent="0.25">
      <c r="E16" s="31">
        <f>A6</f>
        <v>0</v>
      </c>
      <c r="F16" s="33"/>
      <c r="G16" s="35"/>
      <c r="H16" s="35"/>
      <c r="I16" s="34"/>
      <c r="J16" s="32">
        <v>1</v>
      </c>
      <c r="K16" s="32">
        <v>0</v>
      </c>
      <c r="L16" s="32">
        <v>0</v>
      </c>
      <c r="M16" s="32">
        <v>1</v>
      </c>
      <c r="N16" s="32">
        <v>1</v>
      </c>
    </row>
    <row r="17" spans="5:14" x14ac:dyDescent="0.25">
      <c r="E17" s="31">
        <f t="shared" ref="E17:E18" si="2">A7</f>
        <v>0</v>
      </c>
      <c r="F17" s="33"/>
      <c r="G17" s="35"/>
      <c r="H17" s="35"/>
      <c r="I17" s="35"/>
      <c r="J17" s="34"/>
      <c r="K17" s="32">
        <v>1</v>
      </c>
      <c r="L17" s="32">
        <v>0</v>
      </c>
      <c r="M17" s="32">
        <v>1</v>
      </c>
      <c r="N17" s="32">
        <v>1</v>
      </c>
    </row>
    <row r="18" spans="5:14" x14ac:dyDescent="0.25">
      <c r="E18" s="31">
        <f t="shared" si="2"/>
        <v>0</v>
      </c>
      <c r="F18" s="33"/>
      <c r="G18" s="35"/>
      <c r="H18" s="35"/>
      <c r="I18" s="35"/>
      <c r="J18" s="35"/>
      <c r="K18" s="34"/>
      <c r="L18" s="32">
        <v>1</v>
      </c>
      <c r="M18" s="32">
        <v>1</v>
      </c>
      <c r="N18" s="32">
        <v>0</v>
      </c>
    </row>
    <row r="19" spans="5:14" x14ac:dyDescent="0.25">
      <c r="E19" s="31">
        <f>B6</f>
        <v>0</v>
      </c>
      <c r="F19" s="33"/>
      <c r="G19" s="35"/>
      <c r="H19" s="35"/>
      <c r="I19" s="35"/>
      <c r="J19" s="35"/>
      <c r="K19" s="35"/>
      <c r="L19" s="34"/>
      <c r="M19" s="32">
        <v>1</v>
      </c>
      <c r="N19" s="32">
        <v>0</v>
      </c>
    </row>
    <row r="20" spans="5:14" x14ac:dyDescent="0.25">
      <c r="E20" s="31">
        <f>B7</f>
        <v>0</v>
      </c>
      <c r="F20" s="33"/>
      <c r="G20" s="35"/>
      <c r="H20" s="35"/>
      <c r="I20" s="35"/>
      <c r="J20" s="35"/>
      <c r="K20" s="35"/>
      <c r="L20" s="35"/>
      <c r="M20" s="34"/>
      <c r="N20" s="32">
        <v>1</v>
      </c>
    </row>
  </sheetData>
  <mergeCells count="10">
    <mergeCell ref="L1:L7"/>
    <mergeCell ref="M1:M7"/>
    <mergeCell ref="N1:N7"/>
    <mergeCell ref="E1:E7"/>
    <mergeCell ref="F1:F7"/>
    <mergeCell ref="G1:G7"/>
    <mergeCell ref="H1:H7"/>
    <mergeCell ref="I1:I7"/>
    <mergeCell ref="J1:J7"/>
    <mergeCell ref="K1:K7"/>
  </mergeCells>
  <conditionalFormatting sqref="F8:N20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 filterMode="1"/>
  <dimension ref="A1:D947"/>
  <sheetViews>
    <sheetView workbookViewId="0">
      <selection sqref="A1:D1"/>
    </sheetView>
  </sheetViews>
  <sheetFormatPr defaultRowHeight="15" x14ac:dyDescent="0.25"/>
  <cols>
    <col min="1" max="1" width="7.28515625" style="24" customWidth="1"/>
    <col min="2" max="2" width="62.28515625" style="23" customWidth="1"/>
    <col min="3" max="4" width="8.7109375" style="24" customWidth="1"/>
    <col min="5" max="16384" width="9.140625" style="23"/>
  </cols>
  <sheetData>
    <row r="1" spans="1:4" ht="15.75" thickBot="1" x14ac:dyDescent="0.3">
      <c r="A1" s="7" t="s">
        <v>12</v>
      </c>
      <c r="B1" s="7" t="s">
        <v>13</v>
      </c>
      <c r="C1" s="7" t="s">
        <v>1</v>
      </c>
      <c r="D1" s="7" t="s">
        <v>9</v>
      </c>
    </row>
    <row r="2" spans="1:4" hidden="1" x14ac:dyDescent="0.25">
      <c r="A2" s="24">
        <v>1</v>
      </c>
      <c r="B2" s="23" t="s">
        <v>33</v>
      </c>
    </row>
    <row r="3" spans="1:4" hidden="1" x14ac:dyDescent="0.25">
      <c r="A3" s="24">
        <v>2</v>
      </c>
      <c r="B3" s="23" t="s">
        <v>34</v>
      </c>
      <c r="C3" s="24">
        <v>1</v>
      </c>
      <c r="D3" s="24" t="s">
        <v>10</v>
      </c>
    </row>
    <row r="4" spans="1:4" hidden="1" x14ac:dyDescent="0.25">
      <c r="A4" s="24">
        <v>3</v>
      </c>
      <c r="B4" s="23" t="s">
        <v>35</v>
      </c>
      <c r="C4" s="24">
        <v>1</v>
      </c>
      <c r="D4" s="24" t="s">
        <v>10</v>
      </c>
    </row>
    <row r="5" spans="1:4" hidden="1" x14ac:dyDescent="0.25">
      <c r="A5" s="24">
        <v>4</v>
      </c>
      <c r="B5" s="23" t="s">
        <v>122</v>
      </c>
      <c r="C5" s="24">
        <v>1</v>
      </c>
      <c r="D5" s="24" t="s">
        <v>10</v>
      </c>
    </row>
    <row r="6" spans="1:4" hidden="1" x14ac:dyDescent="0.25">
      <c r="A6" s="24">
        <v>5</v>
      </c>
      <c r="B6" s="22" t="s">
        <v>302</v>
      </c>
      <c r="C6" s="24">
        <v>1</v>
      </c>
      <c r="D6" s="24" t="s">
        <v>10</v>
      </c>
    </row>
    <row r="7" spans="1:4" hidden="1" x14ac:dyDescent="0.25">
      <c r="A7" s="24">
        <v>6</v>
      </c>
      <c r="B7" s="23" t="s">
        <v>303</v>
      </c>
      <c r="C7" s="24">
        <v>1</v>
      </c>
      <c r="D7" s="24" t="s">
        <v>10</v>
      </c>
    </row>
    <row r="8" spans="1:4" hidden="1" x14ac:dyDescent="0.25">
      <c r="A8" s="24">
        <v>7</v>
      </c>
      <c r="B8" s="23" t="s">
        <v>304</v>
      </c>
      <c r="C8" s="24">
        <v>1</v>
      </c>
      <c r="D8" s="24" t="s">
        <v>10</v>
      </c>
    </row>
    <row r="9" spans="1:4" hidden="1" x14ac:dyDescent="0.25">
      <c r="A9" s="24">
        <v>8</v>
      </c>
      <c r="B9" s="23" t="s">
        <v>305</v>
      </c>
    </row>
    <row r="10" spans="1:4" hidden="1" x14ac:dyDescent="0.25">
      <c r="A10" s="24">
        <v>9</v>
      </c>
      <c r="B10" s="22" t="s">
        <v>36</v>
      </c>
      <c r="C10" s="24">
        <v>2</v>
      </c>
      <c r="D10" s="24" t="s">
        <v>10</v>
      </c>
    </row>
    <row r="11" spans="1:4" hidden="1" x14ac:dyDescent="0.25">
      <c r="A11" s="24">
        <v>10</v>
      </c>
      <c r="B11" s="23" t="s">
        <v>387</v>
      </c>
      <c r="C11" s="24">
        <v>2</v>
      </c>
    </row>
    <row r="12" spans="1:4" hidden="1" x14ac:dyDescent="0.25">
      <c r="A12" s="24">
        <v>11</v>
      </c>
      <c r="B12" s="23" t="s">
        <v>306</v>
      </c>
      <c r="C12" s="24">
        <v>5</v>
      </c>
    </row>
    <row r="13" spans="1:4" hidden="1" x14ac:dyDescent="0.25">
      <c r="A13" s="24">
        <v>12</v>
      </c>
      <c r="B13" s="23" t="s">
        <v>307</v>
      </c>
      <c r="C13" s="24">
        <v>24</v>
      </c>
    </row>
    <row r="14" spans="1:4" hidden="1" x14ac:dyDescent="0.25">
      <c r="A14" s="24">
        <v>13</v>
      </c>
      <c r="B14" s="23" t="s">
        <v>308</v>
      </c>
      <c r="C14" s="24">
        <v>1</v>
      </c>
    </row>
    <row r="15" spans="1:4" hidden="1" x14ac:dyDescent="0.25">
      <c r="A15" s="24">
        <v>14</v>
      </c>
      <c r="B15" s="23" t="s">
        <v>309</v>
      </c>
      <c r="C15" s="24">
        <v>1</v>
      </c>
    </row>
    <row r="16" spans="1:4" hidden="1" x14ac:dyDescent="0.25">
      <c r="A16" s="24">
        <v>15</v>
      </c>
      <c r="B16" s="23" t="s">
        <v>310</v>
      </c>
      <c r="C16" s="24">
        <v>1</v>
      </c>
    </row>
    <row r="17" spans="1:3" hidden="1" x14ac:dyDescent="0.25">
      <c r="A17" s="24">
        <v>16</v>
      </c>
      <c r="B17" s="23" t="s">
        <v>311</v>
      </c>
      <c r="C17" s="24">
        <v>1</v>
      </c>
    </row>
    <row r="18" spans="1:3" hidden="1" x14ac:dyDescent="0.25">
      <c r="A18" s="24">
        <v>17</v>
      </c>
      <c r="B18" s="23" t="s">
        <v>312</v>
      </c>
      <c r="C18" s="24">
        <v>2</v>
      </c>
    </row>
    <row r="19" spans="1:3" hidden="1" x14ac:dyDescent="0.25">
      <c r="A19" s="24">
        <v>18</v>
      </c>
      <c r="B19" s="23" t="s">
        <v>313</v>
      </c>
      <c r="C19" s="24">
        <v>3</v>
      </c>
    </row>
    <row r="20" spans="1:3" hidden="1" x14ac:dyDescent="0.25">
      <c r="A20" s="24">
        <v>19</v>
      </c>
      <c r="B20" s="23" t="s">
        <v>314</v>
      </c>
      <c r="C20" s="24">
        <v>2</v>
      </c>
    </row>
    <row r="21" spans="1:3" hidden="1" x14ac:dyDescent="0.25">
      <c r="A21" s="24">
        <v>20</v>
      </c>
      <c r="B21" s="23" t="s">
        <v>315</v>
      </c>
      <c r="C21" s="24">
        <v>1</v>
      </c>
    </row>
    <row r="22" spans="1:3" hidden="1" x14ac:dyDescent="0.25">
      <c r="A22" s="24">
        <v>21</v>
      </c>
      <c r="B22" s="23" t="s">
        <v>316</v>
      </c>
      <c r="C22" s="24">
        <v>2</v>
      </c>
    </row>
    <row r="23" spans="1:3" hidden="1" x14ac:dyDescent="0.25">
      <c r="A23" s="24">
        <v>22</v>
      </c>
      <c r="B23" s="23" t="s">
        <v>317</v>
      </c>
      <c r="C23" s="24">
        <v>2</v>
      </c>
    </row>
    <row r="24" spans="1:3" hidden="1" x14ac:dyDescent="0.25">
      <c r="A24" s="24">
        <v>23</v>
      </c>
      <c r="B24" s="22" t="s">
        <v>318</v>
      </c>
      <c r="C24" s="24">
        <v>2</v>
      </c>
    </row>
    <row r="25" spans="1:3" hidden="1" x14ac:dyDescent="0.25">
      <c r="A25" s="24">
        <v>24</v>
      </c>
      <c r="B25" s="23" t="s">
        <v>319</v>
      </c>
      <c r="C25" s="24">
        <v>2</v>
      </c>
    </row>
    <row r="26" spans="1:3" hidden="1" x14ac:dyDescent="0.25">
      <c r="A26" s="24">
        <v>25</v>
      </c>
      <c r="B26" s="23" t="s">
        <v>320</v>
      </c>
      <c r="C26" s="24">
        <v>1</v>
      </c>
    </row>
    <row r="27" spans="1:3" hidden="1" x14ac:dyDescent="0.25">
      <c r="A27" s="24">
        <v>26</v>
      </c>
      <c r="B27" s="23" t="s">
        <v>321</v>
      </c>
      <c r="C27" s="24">
        <v>2</v>
      </c>
    </row>
    <row r="28" spans="1:3" hidden="1" x14ac:dyDescent="0.25">
      <c r="A28" s="24">
        <v>27</v>
      </c>
      <c r="B28" s="22" t="s">
        <v>322</v>
      </c>
      <c r="C28" s="24">
        <v>2</v>
      </c>
    </row>
    <row r="29" spans="1:3" hidden="1" x14ac:dyDescent="0.25">
      <c r="A29" s="24">
        <v>28</v>
      </c>
      <c r="B29" s="22" t="s">
        <v>323</v>
      </c>
      <c r="C29" s="24">
        <v>1</v>
      </c>
    </row>
    <row r="30" spans="1:3" hidden="1" x14ac:dyDescent="0.25">
      <c r="A30" s="24">
        <v>29</v>
      </c>
      <c r="B30" s="23" t="s">
        <v>324</v>
      </c>
      <c r="C30" s="24">
        <v>2</v>
      </c>
    </row>
    <row r="31" spans="1:3" hidden="1" x14ac:dyDescent="0.25">
      <c r="A31" s="24">
        <v>30</v>
      </c>
      <c r="B31" s="23" t="s">
        <v>325</v>
      </c>
      <c r="C31" s="24">
        <v>1</v>
      </c>
    </row>
    <row r="32" spans="1:3" hidden="1" x14ac:dyDescent="0.25">
      <c r="A32" s="24">
        <v>31</v>
      </c>
      <c r="B32" s="23" t="s">
        <v>326</v>
      </c>
      <c r="C32" s="24">
        <v>1</v>
      </c>
    </row>
    <row r="33" spans="1:3" hidden="1" x14ac:dyDescent="0.25">
      <c r="A33" s="24">
        <v>32</v>
      </c>
      <c r="B33" s="23" t="s">
        <v>327</v>
      </c>
      <c r="C33" s="24">
        <v>1</v>
      </c>
    </row>
    <row r="34" spans="1:3" hidden="1" x14ac:dyDescent="0.25">
      <c r="A34" s="24">
        <v>33</v>
      </c>
      <c r="B34" s="23" t="s">
        <v>328</v>
      </c>
      <c r="C34" s="24">
        <v>1</v>
      </c>
    </row>
    <row r="35" spans="1:3" hidden="1" x14ac:dyDescent="0.25">
      <c r="A35" s="24">
        <v>34</v>
      </c>
      <c r="B35" s="23" t="s">
        <v>329</v>
      </c>
      <c r="C35" s="24">
        <v>1</v>
      </c>
    </row>
    <row r="36" spans="1:3" hidden="1" x14ac:dyDescent="0.25">
      <c r="A36" s="24">
        <v>35</v>
      </c>
      <c r="B36" s="23" t="s">
        <v>330</v>
      </c>
      <c r="C36" s="24">
        <v>1</v>
      </c>
    </row>
    <row r="37" spans="1:3" hidden="1" x14ac:dyDescent="0.25">
      <c r="A37" s="24">
        <v>36</v>
      </c>
      <c r="B37" s="23" t="s">
        <v>331</v>
      </c>
      <c r="C37" s="24">
        <v>2</v>
      </c>
    </row>
    <row r="38" spans="1:3" hidden="1" x14ac:dyDescent="0.25">
      <c r="A38" s="24">
        <v>37</v>
      </c>
      <c r="B38" s="23" t="s">
        <v>332</v>
      </c>
      <c r="C38" s="24">
        <v>2</v>
      </c>
    </row>
    <row r="39" spans="1:3" hidden="1" x14ac:dyDescent="0.25">
      <c r="A39" s="24">
        <v>38</v>
      </c>
      <c r="B39" s="23" t="s">
        <v>333</v>
      </c>
      <c r="C39" s="24">
        <v>7</v>
      </c>
    </row>
    <row r="40" spans="1:3" hidden="1" x14ac:dyDescent="0.25">
      <c r="A40" s="24">
        <v>39</v>
      </c>
      <c r="B40" s="23" t="s">
        <v>334</v>
      </c>
      <c r="C40" s="24">
        <v>4</v>
      </c>
    </row>
    <row r="41" spans="1:3" hidden="1" x14ac:dyDescent="0.25">
      <c r="A41" s="24">
        <v>40</v>
      </c>
      <c r="B41" s="23" t="s">
        <v>335</v>
      </c>
      <c r="C41" s="24">
        <v>2</v>
      </c>
    </row>
    <row r="42" spans="1:3" hidden="1" x14ac:dyDescent="0.25">
      <c r="A42" s="24">
        <v>41</v>
      </c>
      <c r="B42" s="23" t="s">
        <v>336</v>
      </c>
      <c r="C42" s="24">
        <v>2</v>
      </c>
    </row>
    <row r="43" spans="1:3" hidden="1" x14ac:dyDescent="0.25">
      <c r="A43" s="24">
        <v>42</v>
      </c>
      <c r="B43" s="23" t="s">
        <v>337</v>
      </c>
      <c r="C43" s="24">
        <v>2</v>
      </c>
    </row>
    <row r="44" spans="1:3" hidden="1" x14ac:dyDescent="0.25">
      <c r="A44" s="24">
        <v>43</v>
      </c>
      <c r="B44" s="23" t="s">
        <v>338</v>
      </c>
      <c r="C44" s="24">
        <v>2</v>
      </c>
    </row>
    <row r="45" spans="1:3" hidden="1" x14ac:dyDescent="0.25">
      <c r="A45" s="24">
        <v>44</v>
      </c>
      <c r="B45" s="23" t="s">
        <v>339</v>
      </c>
      <c r="C45" s="24">
        <v>1</v>
      </c>
    </row>
    <row r="46" spans="1:3" hidden="1" x14ac:dyDescent="0.25">
      <c r="A46" s="24">
        <v>45</v>
      </c>
      <c r="B46" s="23" t="s">
        <v>340</v>
      </c>
      <c r="C46" s="24">
        <v>2</v>
      </c>
    </row>
    <row r="47" spans="1:3" hidden="1" x14ac:dyDescent="0.25">
      <c r="A47" s="24">
        <v>46</v>
      </c>
      <c r="B47" s="23" t="s">
        <v>341</v>
      </c>
      <c r="C47" s="24">
        <v>2</v>
      </c>
    </row>
    <row r="48" spans="1:3" hidden="1" x14ac:dyDescent="0.25">
      <c r="A48" s="24">
        <v>47</v>
      </c>
      <c r="B48" s="23" t="s">
        <v>342</v>
      </c>
      <c r="C48" s="24">
        <v>1</v>
      </c>
    </row>
    <row r="49" spans="1:3" hidden="1" x14ac:dyDescent="0.25">
      <c r="A49" s="24">
        <v>48</v>
      </c>
      <c r="B49" s="23" t="s">
        <v>343</v>
      </c>
      <c r="C49" s="24">
        <v>1</v>
      </c>
    </row>
    <row r="50" spans="1:3" hidden="1" x14ac:dyDescent="0.25">
      <c r="A50" s="24">
        <v>49</v>
      </c>
      <c r="B50" s="23" t="s">
        <v>344</v>
      </c>
      <c r="C50" s="24">
        <v>1</v>
      </c>
    </row>
    <row r="51" spans="1:3" hidden="1" x14ac:dyDescent="0.25">
      <c r="A51" s="24">
        <v>50</v>
      </c>
      <c r="B51" s="23" t="s">
        <v>345</v>
      </c>
      <c r="C51" s="24">
        <v>1</v>
      </c>
    </row>
    <row r="52" spans="1:3" hidden="1" x14ac:dyDescent="0.25">
      <c r="A52" s="24">
        <v>51</v>
      </c>
      <c r="B52" s="23" t="s">
        <v>346</v>
      </c>
      <c r="C52" s="24">
        <v>1</v>
      </c>
    </row>
    <row r="53" spans="1:3" hidden="1" x14ac:dyDescent="0.25">
      <c r="A53" s="24">
        <v>52</v>
      </c>
      <c r="B53" s="23" t="s">
        <v>347</v>
      </c>
      <c r="C53" s="24">
        <v>1</v>
      </c>
    </row>
    <row r="54" spans="1:3" hidden="1" x14ac:dyDescent="0.25">
      <c r="A54" s="24">
        <v>53</v>
      </c>
      <c r="B54" s="23" t="s">
        <v>348</v>
      </c>
      <c r="C54" s="24">
        <v>1</v>
      </c>
    </row>
    <row r="55" spans="1:3" hidden="1" x14ac:dyDescent="0.25">
      <c r="A55" s="24">
        <v>54</v>
      </c>
      <c r="B55" s="23" t="s">
        <v>349</v>
      </c>
      <c r="C55" s="24">
        <v>1</v>
      </c>
    </row>
    <row r="56" spans="1:3" hidden="1" x14ac:dyDescent="0.25">
      <c r="A56" s="24">
        <v>55</v>
      </c>
      <c r="B56" s="23" t="s">
        <v>350</v>
      </c>
      <c r="C56" s="24">
        <v>2</v>
      </c>
    </row>
    <row r="57" spans="1:3" hidden="1" x14ac:dyDescent="0.25">
      <c r="A57" s="24">
        <v>56</v>
      </c>
      <c r="B57" s="23" t="s">
        <v>351</v>
      </c>
      <c r="C57" s="24">
        <v>1</v>
      </c>
    </row>
    <row r="58" spans="1:3" hidden="1" x14ac:dyDescent="0.25">
      <c r="A58" s="24">
        <v>57</v>
      </c>
      <c r="B58" s="23" t="s">
        <v>352</v>
      </c>
      <c r="C58" s="24">
        <v>13</v>
      </c>
    </row>
    <row r="59" spans="1:3" hidden="1" x14ac:dyDescent="0.25">
      <c r="A59" s="24">
        <v>58</v>
      </c>
      <c r="B59" s="23" t="s">
        <v>353</v>
      </c>
      <c r="C59" s="24">
        <v>2</v>
      </c>
    </row>
    <row r="60" spans="1:3" hidden="1" x14ac:dyDescent="0.25">
      <c r="A60" s="24">
        <v>59</v>
      </c>
      <c r="B60" s="23" t="s">
        <v>354</v>
      </c>
      <c r="C60" s="24">
        <v>2</v>
      </c>
    </row>
    <row r="61" spans="1:3" hidden="1" x14ac:dyDescent="0.25">
      <c r="A61" s="24">
        <v>60</v>
      </c>
      <c r="B61" s="23" t="s">
        <v>355</v>
      </c>
      <c r="C61" s="24">
        <v>7</v>
      </c>
    </row>
    <row r="62" spans="1:3" hidden="1" x14ac:dyDescent="0.25">
      <c r="A62" s="24">
        <v>61</v>
      </c>
      <c r="B62" s="23" t="s">
        <v>356</v>
      </c>
      <c r="C62" s="24">
        <v>4</v>
      </c>
    </row>
    <row r="63" spans="1:3" hidden="1" x14ac:dyDescent="0.25">
      <c r="A63" s="24">
        <v>62</v>
      </c>
      <c r="B63" s="22" t="s">
        <v>357</v>
      </c>
      <c r="C63" s="24">
        <v>2</v>
      </c>
    </row>
    <row r="64" spans="1:3" hidden="1" x14ac:dyDescent="0.25">
      <c r="A64" s="24">
        <v>63</v>
      </c>
      <c r="B64" s="23" t="s">
        <v>358</v>
      </c>
      <c r="C64" s="24">
        <v>1</v>
      </c>
    </row>
    <row r="65" spans="1:3" hidden="1" x14ac:dyDescent="0.25">
      <c r="A65" s="24">
        <v>64</v>
      </c>
      <c r="B65" s="23" t="s">
        <v>359</v>
      </c>
      <c r="C65" s="24">
        <v>1</v>
      </c>
    </row>
    <row r="66" spans="1:3" hidden="1" x14ac:dyDescent="0.25">
      <c r="A66" s="24">
        <v>65</v>
      </c>
      <c r="B66" s="23" t="s">
        <v>360</v>
      </c>
      <c r="C66" s="24">
        <v>1</v>
      </c>
    </row>
    <row r="67" spans="1:3" hidden="1" x14ac:dyDescent="0.25">
      <c r="A67" s="24">
        <v>66</v>
      </c>
      <c r="B67" s="23" t="s">
        <v>361</v>
      </c>
      <c r="C67" s="24">
        <v>1</v>
      </c>
    </row>
    <row r="68" spans="1:3" hidden="1" x14ac:dyDescent="0.25">
      <c r="A68" s="24">
        <v>67</v>
      </c>
      <c r="B68" s="23" t="s">
        <v>362</v>
      </c>
      <c r="C68" s="24">
        <v>1</v>
      </c>
    </row>
    <row r="69" spans="1:3" hidden="1" x14ac:dyDescent="0.25">
      <c r="A69" s="24">
        <v>68</v>
      </c>
      <c r="B69" s="23" t="s">
        <v>363</v>
      </c>
      <c r="C69" s="24">
        <v>1</v>
      </c>
    </row>
    <row r="70" spans="1:3" hidden="1" x14ac:dyDescent="0.25">
      <c r="A70" s="24">
        <v>69</v>
      </c>
      <c r="B70" s="22" t="s">
        <v>364</v>
      </c>
      <c r="C70" s="24">
        <v>1</v>
      </c>
    </row>
    <row r="71" spans="1:3" hidden="1" x14ac:dyDescent="0.25">
      <c r="A71" s="24">
        <v>70</v>
      </c>
      <c r="B71" s="23" t="s">
        <v>365</v>
      </c>
      <c r="C71" s="24">
        <v>2</v>
      </c>
    </row>
    <row r="72" spans="1:3" hidden="1" x14ac:dyDescent="0.25">
      <c r="A72" s="24">
        <v>71</v>
      </c>
      <c r="B72" s="23" t="s">
        <v>366</v>
      </c>
      <c r="C72" s="24">
        <v>1</v>
      </c>
    </row>
    <row r="73" spans="1:3" hidden="1" x14ac:dyDescent="0.25">
      <c r="A73" s="24">
        <v>72</v>
      </c>
      <c r="B73" s="23" t="s">
        <v>367</v>
      </c>
      <c r="C73" s="24">
        <v>2</v>
      </c>
    </row>
    <row r="74" spans="1:3" hidden="1" x14ac:dyDescent="0.25">
      <c r="A74" s="24">
        <v>73</v>
      </c>
      <c r="B74" s="23" t="s">
        <v>368</v>
      </c>
      <c r="C74" s="24">
        <v>1</v>
      </c>
    </row>
    <row r="75" spans="1:3" hidden="1" x14ac:dyDescent="0.25">
      <c r="A75" s="24">
        <v>74</v>
      </c>
      <c r="B75" s="23" t="s">
        <v>369</v>
      </c>
      <c r="C75" s="24">
        <v>2</v>
      </c>
    </row>
    <row r="76" spans="1:3" hidden="1" x14ac:dyDescent="0.25">
      <c r="A76" s="24">
        <v>75</v>
      </c>
      <c r="B76" s="23" t="s">
        <v>370</v>
      </c>
      <c r="C76" s="24">
        <v>4</v>
      </c>
    </row>
    <row r="77" spans="1:3" hidden="1" x14ac:dyDescent="0.25">
      <c r="A77" s="24">
        <v>76</v>
      </c>
      <c r="B77" s="23" t="s">
        <v>371</v>
      </c>
      <c r="C77" s="24">
        <v>6</v>
      </c>
    </row>
    <row r="78" spans="1:3" hidden="1" x14ac:dyDescent="0.25">
      <c r="A78" s="24">
        <v>77</v>
      </c>
      <c r="B78" s="23" t="s">
        <v>372</v>
      </c>
      <c r="C78" s="24">
        <v>2</v>
      </c>
    </row>
    <row r="79" spans="1:3" hidden="1" x14ac:dyDescent="0.25">
      <c r="A79" s="24">
        <v>78</v>
      </c>
      <c r="B79" s="23" t="s">
        <v>373</v>
      </c>
      <c r="C79" s="24">
        <v>1</v>
      </c>
    </row>
    <row r="80" spans="1:3" hidden="1" x14ac:dyDescent="0.25">
      <c r="A80" s="24">
        <v>79</v>
      </c>
      <c r="B80" s="23" t="s">
        <v>374</v>
      </c>
      <c r="C80" s="24">
        <v>1</v>
      </c>
    </row>
    <row r="81" spans="1:4" hidden="1" x14ac:dyDescent="0.25">
      <c r="A81" s="24">
        <v>80</v>
      </c>
      <c r="B81" s="23" t="s">
        <v>375</v>
      </c>
      <c r="C81" s="24">
        <v>1</v>
      </c>
    </row>
    <row r="82" spans="1:4" hidden="1" x14ac:dyDescent="0.25">
      <c r="A82" s="24">
        <v>81</v>
      </c>
      <c r="B82" s="23" t="s">
        <v>376</v>
      </c>
      <c r="C82" s="24">
        <v>1</v>
      </c>
    </row>
    <row r="83" spans="1:4" hidden="1" x14ac:dyDescent="0.25">
      <c r="A83" s="24">
        <v>82</v>
      </c>
      <c r="B83" s="22" t="s">
        <v>377</v>
      </c>
      <c r="C83" s="24">
        <v>7</v>
      </c>
    </row>
    <row r="84" spans="1:4" hidden="1" x14ac:dyDescent="0.25">
      <c r="A84" s="24">
        <v>83</v>
      </c>
      <c r="B84" s="23" t="s">
        <v>378</v>
      </c>
      <c r="C84" s="24">
        <v>1</v>
      </c>
    </row>
    <row r="85" spans="1:4" hidden="1" x14ac:dyDescent="0.25">
      <c r="A85" s="24">
        <v>84</v>
      </c>
      <c r="B85" s="23" t="s">
        <v>379</v>
      </c>
      <c r="C85" s="24">
        <v>1</v>
      </c>
    </row>
    <row r="86" spans="1:4" hidden="1" x14ac:dyDescent="0.25">
      <c r="A86" s="24">
        <v>85</v>
      </c>
      <c r="B86" s="23" t="s">
        <v>37</v>
      </c>
      <c r="C86" s="24">
        <v>1</v>
      </c>
      <c r="D86" s="24" t="s">
        <v>10</v>
      </c>
    </row>
    <row r="87" spans="1:4" hidden="1" x14ac:dyDescent="0.25">
      <c r="A87" s="24">
        <v>86</v>
      </c>
      <c r="B87" s="23" t="s">
        <v>25</v>
      </c>
      <c r="C87" s="24">
        <v>1</v>
      </c>
      <c r="D87" s="24" t="s">
        <v>10</v>
      </c>
    </row>
    <row r="88" spans="1:4" hidden="1" x14ac:dyDescent="0.25">
      <c r="A88" s="24">
        <v>87</v>
      </c>
      <c r="B88" s="23" t="s">
        <v>102</v>
      </c>
      <c r="C88" s="24">
        <v>1</v>
      </c>
      <c r="D88" s="24" t="s">
        <v>10</v>
      </c>
    </row>
    <row r="89" spans="1:4" hidden="1" x14ac:dyDescent="0.25">
      <c r="A89" s="24">
        <v>88</v>
      </c>
      <c r="B89" s="22" t="s">
        <v>380</v>
      </c>
      <c r="C89" s="24">
        <v>5</v>
      </c>
      <c r="D89" s="24" t="s">
        <v>10</v>
      </c>
    </row>
    <row r="90" spans="1:4" hidden="1" x14ac:dyDescent="0.25">
      <c r="A90" s="24">
        <v>89</v>
      </c>
      <c r="B90" s="23" t="s">
        <v>381</v>
      </c>
      <c r="C90" s="24">
        <v>1</v>
      </c>
      <c r="D90" s="24" t="s">
        <v>10</v>
      </c>
    </row>
    <row r="91" spans="1:4" hidden="1" x14ac:dyDescent="0.25">
      <c r="A91" s="24">
        <v>90</v>
      </c>
      <c r="B91" s="23" t="s">
        <v>382</v>
      </c>
      <c r="C91" s="24">
        <v>1</v>
      </c>
      <c r="D91" s="24" t="s">
        <v>10</v>
      </c>
    </row>
    <row r="92" spans="1:4" hidden="1" x14ac:dyDescent="0.25">
      <c r="A92" s="24">
        <v>91</v>
      </c>
      <c r="B92" s="23" t="s">
        <v>383</v>
      </c>
      <c r="C92" s="24">
        <v>1</v>
      </c>
      <c r="D92" s="24" t="s">
        <v>10</v>
      </c>
    </row>
    <row r="93" spans="1:4" hidden="1" x14ac:dyDescent="0.25">
      <c r="A93" s="24">
        <v>92</v>
      </c>
      <c r="B93" s="23" t="s">
        <v>388</v>
      </c>
      <c r="C93" s="24">
        <v>2</v>
      </c>
      <c r="D93" s="24" t="s">
        <v>10</v>
      </c>
    </row>
    <row r="94" spans="1:4" hidden="1" x14ac:dyDescent="0.25">
      <c r="A94" s="24">
        <v>93</v>
      </c>
      <c r="B94" s="23" t="s">
        <v>384</v>
      </c>
      <c r="C94" s="24">
        <v>1</v>
      </c>
      <c r="D94" s="24" t="s">
        <v>10</v>
      </c>
    </row>
    <row r="95" spans="1:4" hidden="1" x14ac:dyDescent="0.25">
      <c r="A95" s="24">
        <v>94</v>
      </c>
      <c r="B95" s="23" t="s">
        <v>385</v>
      </c>
      <c r="C95" s="24">
        <v>1</v>
      </c>
      <c r="D95" s="24" t="s">
        <v>10</v>
      </c>
    </row>
    <row r="96" spans="1:4" hidden="1" x14ac:dyDescent="0.25">
      <c r="A96" s="24">
        <v>95</v>
      </c>
      <c r="B96" s="22" t="s">
        <v>386</v>
      </c>
      <c r="C96" s="24">
        <v>1</v>
      </c>
      <c r="D96" s="24" t="s">
        <v>10</v>
      </c>
    </row>
    <row r="97" spans="1:4" hidden="1" x14ac:dyDescent="0.25">
      <c r="A97" s="24">
        <v>96</v>
      </c>
      <c r="B97" s="23" t="s">
        <v>24</v>
      </c>
      <c r="C97" s="24">
        <v>1</v>
      </c>
      <c r="D97" s="24" t="s">
        <v>10</v>
      </c>
    </row>
    <row r="98" spans="1:4" hidden="1" x14ac:dyDescent="0.25">
      <c r="A98" s="24">
        <v>97</v>
      </c>
      <c r="B98" s="23" t="s">
        <v>61</v>
      </c>
      <c r="C98" s="24">
        <v>1</v>
      </c>
      <c r="D98" s="24" t="s">
        <v>10</v>
      </c>
    </row>
    <row r="99" spans="1:4" hidden="1" x14ac:dyDescent="0.25">
      <c r="A99" s="24">
        <v>98</v>
      </c>
      <c r="B99" s="23" t="s">
        <v>62</v>
      </c>
      <c r="C99" s="24">
        <v>1</v>
      </c>
      <c r="D99" s="24" t="s">
        <v>10</v>
      </c>
    </row>
    <row r="100" spans="1:4" hidden="1" x14ac:dyDescent="0.25">
      <c r="A100" s="24">
        <v>99</v>
      </c>
      <c r="B100" s="23" t="s">
        <v>63</v>
      </c>
      <c r="C100" s="24">
        <v>1</v>
      </c>
      <c r="D100" s="24" t="s">
        <v>10</v>
      </c>
    </row>
    <row r="101" spans="1:4" hidden="1" x14ac:dyDescent="0.25">
      <c r="A101" s="24">
        <v>100</v>
      </c>
      <c r="B101" s="23" t="s">
        <v>64</v>
      </c>
      <c r="C101" s="24">
        <v>1</v>
      </c>
      <c r="D101" s="24" t="s">
        <v>10</v>
      </c>
    </row>
    <row r="102" spans="1:4" hidden="1" x14ac:dyDescent="0.25">
      <c r="A102" s="24">
        <v>101</v>
      </c>
      <c r="B102" s="23" t="s">
        <v>65</v>
      </c>
      <c r="C102" s="24">
        <v>1</v>
      </c>
      <c r="D102" s="24" t="s">
        <v>10</v>
      </c>
    </row>
    <row r="103" spans="1:4" hidden="1" x14ac:dyDescent="0.25">
      <c r="A103" s="24">
        <v>102</v>
      </c>
      <c r="B103" s="23" t="s">
        <v>87</v>
      </c>
    </row>
    <row r="104" spans="1:4" hidden="1" x14ac:dyDescent="0.25">
      <c r="A104" s="24">
        <v>103</v>
      </c>
      <c r="B104" s="23" t="s">
        <v>66</v>
      </c>
      <c r="D104" s="24" t="s">
        <v>10</v>
      </c>
    </row>
    <row r="105" spans="1:4" hidden="1" x14ac:dyDescent="0.25">
      <c r="A105" s="24">
        <v>104</v>
      </c>
      <c r="B105" s="23" t="s">
        <v>50</v>
      </c>
      <c r="C105" s="24">
        <v>0</v>
      </c>
      <c r="D105" s="24" t="s">
        <v>10</v>
      </c>
    </row>
    <row r="106" spans="1:4" hidden="1" x14ac:dyDescent="0.25">
      <c r="A106" s="24">
        <v>105</v>
      </c>
      <c r="B106" s="23" t="s">
        <v>54</v>
      </c>
      <c r="C106" s="24">
        <v>0</v>
      </c>
      <c r="D106" s="24" t="s">
        <v>10</v>
      </c>
    </row>
    <row r="107" spans="1:4" hidden="1" x14ac:dyDescent="0.25">
      <c r="A107" s="24">
        <v>106</v>
      </c>
      <c r="B107" s="23" t="s">
        <v>67</v>
      </c>
      <c r="C107" s="24">
        <v>1</v>
      </c>
      <c r="D107" s="24" t="s">
        <v>10</v>
      </c>
    </row>
    <row r="108" spans="1:4" hidden="1" x14ac:dyDescent="0.25">
      <c r="A108" s="24">
        <v>107</v>
      </c>
      <c r="B108" s="23" t="s">
        <v>68</v>
      </c>
      <c r="C108" s="24">
        <v>1</v>
      </c>
      <c r="D108" s="24" t="s">
        <v>10</v>
      </c>
    </row>
    <row r="109" spans="1:4" hidden="1" x14ac:dyDescent="0.25">
      <c r="A109" s="24">
        <v>108</v>
      </c>
      <c r="B109" s="22" t="s">
        <v>69</v>
      </c>
      <c r="C109" s="24">
        <v>1</v>
      </c>
      <c r="D109" s="24" t="s">
        <v>10</v>
      </c>
    </row>
    <row r="110" spans="1:4" hidden="1" x14ac:dyDescent="0.25">
      <c r="A110" s="24">
        <v>109</v>
      </c>
      <c r="B110" s="23" t="s">
        <v>78</v>
      </c>
      <c r="C110" s="24">
        <v>1</v>
      </c>
      <c r="D110" s="24" t="s">
        <v>10</v>
      </c>
    </row>
    <row r="111" spans="1:4" hidden="1" x14ac:dyDescent="0.25">
      <c r="A111" s="24">
        <v>110</v>
      </c>
      <c r="B111" s="22" t="s">
        <v>103</v>
      </c>
      <c r="C111" s="24">
        <v>1</v>
      </c>
      <c r="D111" s="24" t="s">
        <v>10</v>
      </c>
    </row>
    <row r="112" spans="1:4" hidden="1" x14ac:dyDescent="0.25">
      <c r="A112" s="24">
        <v>111</v>
      </c>
      <c r="B112" s="23" t="s">
        <v>79</v>
      </c>
      <c r="C112" s="24">
        <v>1</v>
      </c>
      <c r="D112" s="24" t="s">
        <v>10</v>
      </c>
    </row>
    <row r="113" spans="1:4" hidden="1" x14ac:dyDescent="0.25">
      <c r="A113" s="24">
        <v>112</v>
      </c>
      <c r="B113" s="23" t="s">
        <v>80</v>
      </c>
      <c r="C113" s="24">
        <v>1</v>
      </c>
      <c r="D113" s="24" t="s">
        <v>10</v>
      </c>
    </row>
    <row r="114" spans="1:4" hidden="1" x14ac:dyDescent="0.25">
      <c r="A114" s="24">
        <v>113</v>
      </c>
      <c r="B114" s="23" t="s">
        <v>76</v>
      </c>
    </row>
    <row r="115" spans="1:4" hidden="1" x14ac:dyDescent="0.25">
      <c r="A115" s="24">
        <v>114</v>
      </c>
      <c r="B115" s="23" t="s">
        <v>77</v>
      </c>
    </row>
    <row r="116" spans="1:4" hidden="1" x14ac:dyDescent="0.25">
      <c r="A116" s="24">
        <v>115</v>
      </c>
      <c r="B116" s="22" t="s">
        <v>104</v>
      </c>
      <c r="C116" s="24">
        <v>2</v>
      </c>
      <c r="D116" s="24" t="s">
        <v>10</v>
      </c>
    </row>
    <row r="117" spans="1:4" hidden="1" x14ac:dyDescent="0.25">
      <c r="A117" s="24">
        <v>116</v>
      </c>
      <c r="B117" s="23" t="s">
        <v>105</v>
      </c>
    </row>
    <row r="118" spans="1:4" hidden="1" x14ac:dyDescent="0.25">
      <c r="A118" s="24">
        <v>117</v>
      </c>
      <c r="B118" s="23" t="s">
        <v>106</v>
      </c>
      <c r="C118" s="24">
        <v>2</v>
      </c>
      <c r="D118" s="24" t="s">
        <v>10</v>
      </c>
    </row>
    <row r="119" spans="1:4" hidden="1" x14ac:dyDescent="0.25">
      <c r="A119" s="24">
        <v>118</v>
      </c>
      <c r="B119" s="23" t="s">
        <v>83</v>
      </c>
      <c r="C119" s="24">
        <v>2</v>
      </c>
      <c r="D119" s="24" t="s">
        <v>10</v>
      </c>
    </row>
    <row r="120" spans="1:4" hidden="1" x14ac:dyDescent="0.25">
      <c r="A120" s="24">
        <v>119</v>
      </c>
      <c r="B120" s="23" t="s">
        <v>84</v>
      </c>
      <c r="C120" s="24">
        <v>2</v>
      </c>
      <c r="D120" s="24" t="s">
        <v>10</v>
      </c>
    </row>
    <row r="126" spans="1:4" x14ac:dyDescent="0.25">
      <c r="B126" s="22"/>
    </row>
    <row r="131" spans="2:2" x14ac:dyDescent="0.25">
      <c r="B131" s="22"/>
    </row>
    <row r="134" spans="2:2" x14ac:dyDescent="0.25">
      <c r="B134" s="22"/>
    </row>
    <row r="148" spans="2:2" x14ac:dyDescent="0.25">
      <c r="B148" s="22"/>
    </row>
    <row r="157" spans="2:2" x14ac:dyDescent="0.25">
      <c r="B157" s="22"/>
    </row>
    <row r="161" spans="2:2" x14ac:dyDescent="0.25">
      <c r="B161" s="22"/>
    </row>
    <row r="181" spans="2:2" x14ac:dyDescent="0.25">
      <c r="B181" s="22"/>
    </row>
    <row r="197" spans="2:2" x14ac:dyDescent="0.25">
      <c r="B197" s="22"/>
    </row>
    <row r="198" spans="2:2" x14ac:dyDescent="0.25">
      <c r="B198" s="22"/>
    </row>
    <row r="205" spans="2:2" x14ac:dyDescent="0.25">
      <c r="B205" s="22"/>
    </row>
    <row r="210" spans="2:2" x14ac:dyDescent="0.25">
      <c r="B210" s="22"/>
    </row>
    <row r="213" spans="2:2" x14ac:dyDescent="0.25">
      <c r="B213" s="22"/>
    </row>
    <row r="222" spans="2:2" x14ac:dyDescent="0.25">
      <c r="B222" s="22"/>
    </row>
    <row r="224" spans="2:2" x14ac:dyDescent="0.25">
      <c r="B224" s="22"/>
    </row>
    <row r="242" spans="2:2" x14ac:dyDescent="0.25">
      <c r="B242" s="22"/>
    </row>
    <row r="255" spans="2:2" x14ac:dyDescent="0.25">
      <c r="B255" s="22"/>
    </row>
    <row r="264" spans="2:2" x14ac:dyDescent="0.25">
      <c r="B264" s="22"/>
    </row>
    <row r="272" spans="2:2" x14ac:dyDescent="0.25">
      <c r="B272" s="22"/>
    </row>
    <row r="277" spans="2:2" x14ac:dyDescent="0.25">
      <c r="B277" s="22"/>
    </row>
    <row r="286" spans="2:2" x14ac:dyDescent="0.25">
      <c r="B286" s="22"/>
    </row>
    <row r="291" spans="2:2" x14ac:dyDescent="0.25">
      <c r="B291" s="22"/>
    </row>
    <row r="296" spans="2:2" x14ac:dyDescent="0.25">
      <c r="B296" s="22"/>
    </row>
    <row r="301" spans="2:2" x14ac:dyDescent="0.25">
      <c r="B301" s="22"/>
    </row>
    <row r="305" spans="2:2" x14ac:dyDescent="0.25">
      <c r="B305" s="22"/>
    </row>
    <row r="310" spans="2:2" x14ac:dyDescent="0.25">
      <c r="B310" s="22"/>
    </row>
    <row r="313" spans="2:2" x14ac:dyDescent="0.25">
      <c r="B313" s="22"/>
    </row>
    <row r="319" spans="2:2" x14ac:dyDescent="0.25">
      <c r="B319" s="22"/>
    </row>
    <row r="325" spans="2:2" x14ac:dyDescent="0.25">
      <c r="B325" s="22"/>
    </row>
    <row r="327" spans="2:2" x14ac:dyDescent="0.25">
      <c r="B327" s="22"/>
    </row>
    <row r="329" spans="2:2" x14ac:dyDescent="0.25">
      <c r="B329" s="22"/>
    </row>
    <row r="330" spans="2:2" x14ac:dyDescent="0.25">
      <c r="B330" s="22"/>
    </row>
    <row r="333" spans="2:2" x14ac:dyDescent="0.25">
      <c r="B333" s="22"/>
    </row>
    <row r="365" spans="2:2" x14ac:dyDescent="0.25">
      <c r="B365" s="22"/>
    </row>
    <row r="370" spans="2:2" x14ac:dyDescent="0.25">
      <c r="B370" s="22"/>
    </row>
    <row r="372" spans="2:2" x14ac:dyDescent="0.25">
      <c r="B372" s="22"/>
    </row>
    <row r="399" spans="2:2" x14ac:dyDescent="0.25">
      <c r="B399" s="22"/>
    </row>
    <row r="405" spans="2:2" x14ac:dyDescent="0.25">
      <c r="B405" s="22"/>
    </row>
    <row r="411" spans="2:2" x14ac:dyDescent="0.25">
      <c r="B411" s="22"/>
    </row>
    <row r="417" spans="2:2" x14ac:dyDescent="0.25">
      <c r="B417" s="22"/>
    </row>
    <row r="418" spans="2:2" x14ac:dyDescent="0.25">
      <c r="B418" s="22"/>
    </row>
    <row r="431" spans="2:2" x14ac:dyDescent="0.25">
      <c r="B431" s="22"/>
    </row>
    <row r="436" spans="2:2" x14ac:dyDescent="0.25">
      <c r="B436" s="22"/>
    </row>
    <row r="445" spans="2:2" x14ac:dyDescent="0.25">
      <c r="B445" s="22"/>
    </row>
    <row r="446" spans="2:2" x14ac:dyDescent="0.25">
      <c r="B446" s="22"/>
    </row>
    <row r="447" spans="2:2" x14ac:dyDescent="0.25">
      <c r="B447" s="22"/>
    </row>
    <row r="448" spans="2:2" x14ac:dyDescent="0.25">
      <c r="B448" s="22"/>
    </row>
    <row r="453" spans="2:2" x14ac:dyDescent="0.25">
      <c r="B453" s="22"/>
    </row>
    <row r="457" spans="2:2" x14ac:dyDescent="0.25">
      <c r="B457" s="22"/>
    </row>
    <row r="459" spans="2:2" x14ac:dyDescent="0.25">
      <c r="B459" s="22"/>
    </row>
    <row r="469" spans="2:2" x14ac:dyDescent="0.25">
      <c r="B469" s="22"/>
    </row>
    <row r="474" spans="2:2" x14ac:dyDescent="0.25">
      <c r="B474" s="22"/>
    </row>
    <row r="478" spans="2:2" x14ac:dyDescent="0.25">
      <c r="B478" s="22"/>
    </row>
    <row r="500" spans="2:2" x14ac:dyDescent="0.25">
      <c r="B500" s="22"/>
    </row>
    <row r="504" spans="2:2" x14ac:dyDescent="0.25">
      <c r="B504" s="22"/>
    </row>
    <row r="521" spans="2:2" x14ac:dyDescent="0.25">
      <c r="B521" s="22"/>
    </row>
    <row r="526" spans="2:2" x14ac:dyDescent="0.25">
      <c r="B526" s="22"/>
    </row>
    <row r="532" spans="2:2" x14ac:dyDescent="0.25">
      <c r="B532" s="22"/>
    </row>
    <row r="535" spans="2:2" x14ac:dyDescent="0.25">
      <c r="B535" s="22"/>
    </row>
    <row r="540" spans="2:2" x14ac:dyDescent="0.25">
      <c r="B540" s="22"/>
    </row>
    <row r="548" spans="2:2" x14ac:dyDescent="0.25">
      <c r="B548" s="22"/>
    </row>
    <row r="549" spans="2:2" x14ac:dyDescent="0.25">
      <c r="B549" s="22"/>
    </row>
    <row r="551" spans="2:2" x14ac:dyDescent="0.25">
      <c r="B551" s="22"/>
    </row>
    <row r="557" spans="2:2" x14ac:dyDescent="0.25">
      <c r="B557" s="22"/>
    </row>
    <row r="569" spans="2:2" x14ac:dyDescent="0.25">
      <c r="B569" s="22"/>
    </row>
    <row r="574" spans="2:2" x14ac:dyDescent="0.25">
      <c r="B574" s="22"/>
    </row>
    <row r="578" spans="2:2" x14ac:dyDescent="0.25">
      <c r="B578" s="22"/>
    </row>
    <row r="579" spans="2:2" x14ac:dyDescent="0.25">
      <c r="B579" s="22"/>
    </row>
    <row r="581" spans="2:2" x14ac:dyDescent="0.25">
      <c r="B581" s="22"/>
    </row>
    <row r="584" spans="2:2" x14ac:dyDescent="0.25">
      <c r="B584" s="22"/>
    </row>
    <row r="596" spans="2:2" x14ac:dyDescent="0.25">
      <c r="B596" s="22"/>
    </row>
    <row r="601" spans="2:2" x14ac:dyDescent="0.25">
      <c r="B601" s="22"/>
    </row>
    <row r="611" spans="2:2" x14ac:dyDescent="0.25">
      <c r="B611" s="22"/>
    </row>
    <row r="616" spans="2:2" x14ac:dyDescent="0.25">
      <c r="B616" s="22"/>
    </row>
    <row r="619" spans="2:2" x14ac:dyDescent="0.25">
      <c r="B619" s="22"/>
    </row>
    <row r="621" spans="2:2" x14ac:dyDescent="0.25">
      <c r="B621" s="22"/>
    </row>
    <row r="622" spans="2:2" x14ac:dyDescent="0.25">
      <c r="B622" s="22"/>
    </row>
    <row r="627" spans="2:2" x14ac:dyDescent="0.25">
      <c r="B627" s="22"/>
    </row>
    <row r="630" spans="2:2" x14ac:dyDescent="0.25">
      <c r="B630" s="22"/>
    </row>
    <row r="634" spans="2:2" x14ac:dyDescent="0.25">
      <c r="B634" s="22"/>
    </row>
    <row r="636" spans="2:2" x14ac:dyDescent="0.25">
      <c r="B636" s="22"/>
    </row>
    <row r="637" spans="2:2" x14ac:dyDescent="0.25">
      <c r="B637" s="22"/>
    </row>
    <row r="638" spans="2:2" x14ac:dyDescent="0.25">
      <c r="B638" s="22"/>
    </row>
    <row r="639" spans="2:2" x14ac:dyDescent="0.25">
      <c r="B639" s="22"/>
    </row>
    <row r="640" spans="2:2" x14ac:dyDescent="0.25">
      <c r="B640" s="22"/>
    </row>
    <row r="641" spans="2:2" x14ac:dyDescent="0.25">
      <c r="B641" s="22"/>
    </row>
    <row r="642" spans="2:2" x14ac:dyDescent="0.25">
      <c r="B642" s="22"/>
    </row>
    <row r="643" spans="2:2" x14ac:dyDescent="0.25">
      <c r="B643" s="22"/>
    </row>
    <row r="646" spans="2:2" x14ac:dyDescent="0.25">
      <c r="B646" s="22"/>
    </row>
    <row r="647" spans="2:2" x14ac:dyDescent="0.25">
      <c r="B647" s="22"/>
    </row>
    <row r="673" spans="2:2" x14ac:dyDescent="0.25">
      <c r="B673" s="22"/>
    </row>
    <row r="685" spans="2:2" x14ac:dyDescent="0.25">
      <c r="B685" s="22"/>
    </row>
    <row r="687" spans="2:2" x14ac:dyDescent="0.25">
      <c r="B687" s="22"/>
    </row>
    <row r="694" spans="2:2" x14ac:dyDescent="0.25">
      <c r="B694" s="22"/>
    </row>
    <row r="699" spans="2:2" x14ac:dyDescent="0.25">
      <c r="B699" s="22"/>
    </row>
    <row r="700" spans="2:2" x14ac:dyDescent="0.25">
      <c r="B700" s="22"/>
    </row>
    <row r="705" spans="2:2" x14ac:dyDescent="0.25">
      <c r="B705" s="22"/>
    </row>
    <row r="727" spans="2:2" x14ac:dyDescent="0.25">
      <c r="B727" s="22"/>
    </row>
    <row r="740" spans="2:2" x14ac:dyDescent="0.25">
      <c r="B740" s="22"/>
    </row>
    <row r="751" spans="2:2" x14ac:dyDescent="0.25">
      <c r="B751" s="22"/>
    </row>
    <row r="767" spans="2:2" x14ac:dyDescent="0.25">
      <c r="B767" s="22"/>
    </row>
    <row r="771" spans="2:2" x14ac:dyDescent="0.25">
      <c r="B771" s="22"/>
    </row>
    <row r="773" spans="2:2" x14ac:dyDescent="0.25">
      <c r="B773" s="22"/>
    </row>
    <row r="774" spans="2:2" x14ac:dyDescent="0.25">
      <c r="B774" s="22"/>
    </row>
    <row r="776" spans="2:2" x14ac:dyDescent="0.25">
      <c r="B776" s="22"/>
    </row>
    <row r="779" spans="2:2" x14ac:dyDescent="0.25">
      <c r="B779" s="22"/>
    </row>
    <row r="810" spans="2:2" x14ac:dyDescent="0.25">
      <c r="B810" s="22"/>
    </row>
    <row r="812" spans="2:2" x14ac:dyDescent="0.25">
      <c r="B812" s="22"/>
    </row>
    <row r="839" spans="2:2" x14ac:dyDescent="0.25">
      <c r="B839" s="22"/>
    </row>
    <row r="841" spans="2:2" x14ac:dyDescent="0.25">
      <c r="B841" s="22"/>
    </row>
    <row r="844" spans="2:2" x14ac:dyDescent="0.25">
      <c r="B844" s="22"/>
    </row>
    <row r="853" spans="2:2" x14ac:dyDescent="0.25">
      <c r="B853" s="22"/>
    </row>
    <row r="855" spans="2:2" x14ac:dyDescent="0.25">
      <c r="B855" s="22"/>
    </row>
    <row r="864" spans="2:2" x14ac:dyDescent="0.25">
      <c r="B864" s="22"/>
    </row>
    <row r="869" spans="2:2" x14ac:dyDescent="0.25">
      <c r="B869" s="22"/>
    </row>
    <row r="877" spans="2:2" x14ac:dyDescent="0.25">
      <c r="B877" s="22"/>
    </row>
    <row r="911" spans="2:2" x14ac:dyDescent="0.25">
      <c r="B911" s="22"/>
    </row>
    <row r="946" spans="2:2" x14ac:dyDescent="0.25">
      <c r="B946" s="22"/>
    </row>
    <row r="947" spans="2:2" x14ac:dyDescent="0.25">
      <c r="B947" s="22"/>
    </row>
  </sheetData>
  <autoFilter ref="A1:D120" xr:uid="{40EAC33C-8B18-43C9-9CED-6830946161DF}">
    <filterColumn colId="3">
      <filters>
        <filter val="м"/>
      </filters>
    </filterColumn>
    <sortState xmlns:xlrd2="http://schemas.microsoft.com/office/spreadsheetml/2017/richdata2" ref="A120:D120">
      <sortCondition ref="B1:B922"/>
    </sortState>
  </autoFilter>
  <customSheetViews>
    <customSheetView guid="{81DE55B0-85A9-418C-8421-697090D2269D}">
      <selection activeCell="F29" sqref="F2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69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Set</vt:lpstr>
      <vt:lpstr>Lib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Большаков Сергей</dc:creator>
  <dc:description/>
  <cp:lastModifiedBy>79159</cp:lastModifiedBy>
  <cp:revision>17</cp:revision>
  <cp:lastPrinted>2020-03-19T13:34:15Z</cp:lastPrinted>
  <dcterms:created xsi:type="dcterms:W3CDTF">2019-02-15T05:35:44Z</dcterms:created>
  <dcterms:modified xsi:type="dcterms:W3CDTF">2023-04-04T09:51:45Z</dcterms:modified>
  <dc:language>ru-RU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